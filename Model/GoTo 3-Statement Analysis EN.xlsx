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SUS\Downloads\Financial Analyst\Portfolio\GoTo\"/>
    </mc:Choice>
  </mc:AlternateContent>
  <xr:revisionPtr revIDLastSave="0" documentId="13_ncr:1_{E2DC8FF3-7BF4-4A8E-8972-AF65CCF07F22}" xr6:coauthVersionLast="47" xr6:coauthVersionMax="47" xr10:uidLastSave="{00000000-0000-0000-0000-000000000000}"/>
  <bookViews>
    <workbookView xWindow="-108" yWindow="-108" windowWidth="23256" windowHeight="12720" tabRatio="500" activeTab="6" xr2:uid="{00000000-000D-0000-FFFF-FFFF00000000}"/>
  </bookViews>
  <sheets>
    <sheet name="COVER" sheetId="1" r:id="rId1"/>
    <sheet name="FLAGS" sheetId="9" r:id="rId2"/>
    <sheet name="ASSUMPTIONS" sheetId="2" r:id="rId3"/>
    <sheet name="IS" sheetId="3" r:id="rId4"/>
    <sheet name="BS" sheetId="4" r:id="rId5"/>
    <sheet name="CF" sheetId="5" r:id="rId6"/>
    <sheet name="SEGMENT" sheetId="7" r:id="rId7"/>
    <sheet name="KPI" sheetId="8" r:id="rId8"/>
    <sheet name="RATIOS" sheetId="6"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6" i="3" l="1"/>
  <c r="L26" i="3"/>
  <c r="K26" i="3"/>
  <c r="M25" i="3"/>
  <c r="L25" i="3"/>
  <c r="K25" i="3"/>
  <c r="M24" i="3"/>
  <c r="L24" i="3"/>
  <c r="K24" i="3"/>
  <c r="M23" i="3"/>
  <c r="L23" i="3"/>
  <c r="K23" i="3"/>
  <c r="M22" i="3"/>
  <c r="L22" i="3"/>
  <c r="K22" i="3"/>
  <c r="M21" i="3"/>
  <c r="L21" i="3"/>
  <c r="K21" i="3"/>
  <c r="M20" i="3"/>
  <c r="L20" i="3"/>
  <c r="K20" i="3"/>
  <c r="M19" i="3"/>
  <c r="L19" i="3"/>
  <c r="K19" i="3"/>
  <c r="M18" i="3"/>
  <c r="L18" i="3"/>
  <c r="K18" i="3"/>
  <c r="F51" i="3"/>
  <c r="E51" i="3"/>
  <c r="D51" i="3"/>
  <c r="I63" i="5"/>
  <c r="N10" i="7"/>
  <c r="M10" i="7"/>
  <c r="L10" i="7"/>
  <c r="L11" i="7" s="1"/>
  <c r="N9" i="7"/>
  <c r="M9" i="7"/>
  <c r="L9" i="7"/>
  <c r="N8" i="7"/>
  <c r="M8" i="7"/>
  <c r="M11" i="7" s="1"/>
  <c r="L8" i="7"/>
  <c r="N7" i="7"/>
  <c r="M7" i="7"/>
  <c r="L7" i="7"/>
  <c r="N6" i="7"/>
  <c r="M6" i="7"/>
  <c r="L6" i="7"/>
  <c r="N5" i="7"/>
  <c r="N11" i="7" s="1"/>
  <c r="M5" i="7"/>
  <c r="L5" i="7"/>
  <c r="M48" i="3"/>
  <c r="L48" i="3"/>
  <c r="K48" i="3"/>
  <c r="D22" i="8"/>
  <c r="C22" i="8"/>
  <c r="D21" i="8"/>
  <c r="C21" i="8"/>
  <c r="D26" i="8"/>
  <c r="C26" i="8"/>
  <c r="D23" i="8"/>
  <c r="C23" i="8"/>
  <c r="D15" i="8"/>
  <c r="C15" i="8"/>
  <c r="E15" i="8"/>
  <c r="D9" i="8"/>
  <c r="D10" i="8" s="1"/>
  <c r="C9" i="8"/>
  <c r="C10" i="8" s="1"/>
  <c r="E10" i="8" s="1"/>
  <c r="G8" i="7"/>
  <c r="F10" i="7"/>
  <c r="G10" i="7" s="1"/>
  <c r="F9" i="7"/>
  <c r="G9" i="7" s="1"/>
  <c r="F8" i="7"/>
  <c r="F7" i="7"/>
  <c r="G7" i="7" s="1"/>
  <c r="F6" i="7"/>
  <c r="G6" i="7" s="1"/>
  <c r="I5" i="7"/>
  <c r="F5" i="7"/>
  <c r="G5" i="7" s="1"/>
  <c r="E21" i="8" l="1"/>
  <c r="E9" i="8"/>
  <c r="E26" i="8"/>
  <c r="E23" i="8"/>
  <c r="E22" i="8"/>
  <c r="F11" i="7"/>
  <c r="G33" i="2" l="1"/>
  <c r="G32" i="2"/>
  <c r="G31" i="2"/>
  <c r="G30" i="2"/>
  <c r="G29" i="2"/>
  <c r="G28" i="2"/>
  <c r="G27" i="2"/>
  <c r="G26" i="2"/>
  <c r="G25" i="2"/>
  <c r="D33" i="2"/>
  <c r="C33" i="2"/>
  <c r="D32" i="2"/>
  <c r="C32" i="2"/>
  <c r="D31" i="2"/>
  <c r="C31" i="2"/>
  <c r="D30" i="2"/>
  <c r="C30" i="2"/>
  <c r="D29" i="2"/>
  <c r="C29" i="2"/>
  <c r="D28" i="2"/>
  <c r="C28" i="2"/>
  <c r="D27" i="2"/>
  <c r="C27" i="2"/>
  <c r="D26" i="2"/>
  <c r="C26" i="2"/>
  <c r="D25" i="2"/>
  <c r="C25" i="2"/>
  <c r="E33" i="2" l="1"/>
  <c r="F33" i="2" s="1"/>
  <c r="H33" i="2"/>
  <c r="I33" i="2" s="1"/>
  <c r="J33" i="2"/>
  <c r="J31" i="2" l="1"/>
  <c r="H31" i="2"/>
  <c r="I31" i="2" s="1"/>
  <c r="E31" i="2"/>
  <c r="F31" i="2" s="1"/>
  <c r="J32" i="2"/>
  <c r="H32" i="2"/>
  <c r="I32" i="2" s="1"/>
  <c r="H30" i="2"/>
  <c r="E30" i="2"/>
  <c r="F30" i="2" s="1"/>
  <c r="H29" i="2"/>
  <c r="E29" i="2"/>
  <c r="F29" i="2" s="1"/>
  <c r="H28" i="2"/>
  <c r="E28" i="2"/>
  <c r="F28" i="2" s="1"/>
  <c r="H27" i="2"/>
  <c r="E27" i="2"/>
  <c r="F27" i="2" s="1"/>
  <c r="H26" i="2"/>
  <c r="E26" i="2"/>
  <c r="F26" i="2" s="1"/>
  <c r="H25" i="2"/>
  <c r="E25" i="2"/>
  <c r="F25" i="2" s="1"/>
  <c r="M12" i="3"/>
  <c r="L12" i="3"/>
  <c r="K12" i="3"/>
  <c r="M11" i="3"/>
  <c r="L11" i="3"/>
  <c r="K11" i="3"/>
  <c r="M10" i="3"/>
  <c r="L10" i="3"/>
  <c r="K10" i="3"/>
  <c r="M9" i="3"/>
  <c r="L9" i="3"/>
  <c r="K9" i="3"/>
  <c r="M8" i="3"/>
  <c r="L8" i="3"/>
  <c r="K8" i="3"/>
  <c r="M7" i="3"/>
  <c r="L7" i="3"/>
  <c r="K7" i="3"/>
  <c r="E32" i="2" l="1"/>
  <c r="F32" i="2" s="1"/>
  <c r="I25" i="2"/>
  <c r="I26" i="2"/>
  <c r="I27" i="2"/>
  <c r="I28" i="2"/>
  <c r="I29" i="2"/>
  <c r="I30" i="2"/>
  <c r="J25" i="2"/>
  <c r="J26" i="2"/>
  <c r="J27" i="2"/>
  <c r="J28" i="2"/>
  <c r="J29" i="2"/>
  <c r="J30" i="2"/>
  <c r="L13" i="3"/>
  <c r="M13" i="3"/>
  <c r="K13" i="3"/>
  <c r="G20" i="2"/>
  <c r="G19" i="2"/>
  <c r="G18" i="2"/>
  <c r="G17" i="2"/>
  <c r="G16" i="2"/>
  <c r="G15" i="2"/>
  <c r="D20" i="2"/>
  <c r="C20" i="2"/>
  <c r="D19" i="2"/>
  <c r="C19" i="2"/>
  <c r="D18" i="2"/>
  <c r="J18" i="2" s="1"/>
  <c r="C18" i="2"/>
  <c r="D17" i="2"/>
  <c r="C17" i="2"/>
  <c r="D16" i="2"/>
  <c r="C16" i="2"/>
  <c r="D15" i="2"/>
  <c r="C15" i="2"/>
  <c r="G10" i="2"/>
  <c r="G9" i="2"/>
  <c r="G8" i="2"/>
  <c r="G7" i="2"/>
  <c r="G6" i="2"/>
  <c r="G5" i="2"/>
  <c r="D10" i="2"/>
  <c r="C10" i="2"/>
  <c r="D9" i="2"/>
  <c r="C9" i="2"/>
  <c r="D8" i="2"/>
  <c r="J8" i="2" s="1"/>
  <c r="C8" i="2"/>
  <c r="F8" i="2" s="1"/>
  <c r="D7" i="2"/>
  <c r="J7" i="2" s="1"/>
  <c r="C7" i="2"/>
  <c r="D6" i="2"/>
  <c r="C6" i="2"/>
  <c r="D5" i="2"/>
  <c r="C5" i="2"/>
  <c r="G4" i="2"/>
  <c r="D4" i="2"/>
  <c r="C4" i="2"/>
  <c r="J16" i="2" l="1"/>
  <c r="J17" i="2"/>
  <c r="J5" i="2"/>
  <c r="M4" i="3"/>
  <c r="M49" i="3" s="1"/>
  <c r="K4" i="3"/>
  <c r="K49" i="3" s="1"/>
  <c r="L4" i="3"/>
  <c r="L49" i="3" s="1"/>
  <c r="J19" i="2"/>
  <c r="J20" i="2"/>
  <c r="J15" i="2"/>
  <c r="J10" i="2"/>
  <c r="H5" i="2"/>
  <c r="I5" i="2" s="1"/>
  <c r="E20" i="2"/>
  <c r="F20" i="2" s="1"/>
  <c r="E6" i="2"/>
  <c r="F6" i="2" s="1"/>
  <c r="E15" i="2"/>
  <c r="F15" i="2" s="1"/>
  <c r="H20" i="2"/>
  <c r="I20" i="2" s="1"/>
  <c r="H15" i="2"/>
  <c r="I15" i="2" s="1"/>
  <c r="H16" i="2"/>
  <c r="I16" i="2" s="1"/>
  <c r="E4" i="2"/>
  <c r="F4" i="2" s="1"/>
  <c r="H9" i="2"/>
  <c r="I9" i="2" s="1"/>
  <c r="H6" i="2"/>
  <c r="I6" i="2" s="1"/>
  <c r="H4" i="2"/>
  <c r="I4" i="2" s="1"/>
  <c r="H8" i="2"/>
  <c r="I8" i="2" s="1"/>
  <c r="E17" i="2"/>
  <c r="F17" i="2" s="1"/>
  <c r="H10" i="2"/>
  <c r="I10" i="2" s="1"/>
  <c r="H17" i="2"/>
  <c r="I17" i="2" s="1"/>
  <c r="E5" i="2"/>
  <c r="F5" i="2" s="1"/>
  <c r="E9" i="2"/>
  <c r="F9" i="2" s="1"/>
  <c r="E18" i="2"/>
  <c r="F18" i="2" s="1"/>
  <c r="H18" i="2"/>
  <c r="I18" i="2" s="1"/>
  <c r="E19" i="2"/>
  <c r="F19" i="2" s="1"/>
  <c r="E10" i="2"/>
  <c r="F10" i="2" s="1"/>
  <c r="H19" i="2"/>
  <c r="I19" i="2" s="1"/>
  <c r="E7" i="2"/>
  <c r="F7" i="2" s="1"/>
  <c r="E16" i="2"/>
  <c r="F16" i="2" s="1"/>
  <c r="E8" i="2"/>
  <c r="H7" i="2"/>
  <c r="I7" i="2" s="1"/>
  <c r="B11" i="9"/>
  <c r="B10" i="9"/>
  <c r="B9" i="9"/>
  <c r="B8" i="9"/>
  <c r="B7" i="9"/>
  <c r="B6" i="9"/>
  <c r="C11" i="7"/>
  <c r="G11" i="7" s="1"/>
  <c r="L40" i="3" l="1"/>
  <c r="L41" i="3" s="1"/>
  <c r="K40" i="3"/>
  <c r="K41" i="3" s="1"/>
  <c r="M40" i="3"/>
  <c r="M41" i="3" s="1"/>
  <c r="L15" i="3"/>
  <c r="K15" i="3"/>
  <c r="M15" i="3"/>
  <c r="B5" i="9"/>
  <c r="J50" i="5"/>
  <c r="J49" i="5"/>
  <c r="J42" i="5"/>
  <c r="J29" i="5"/>
  <c r="J28" i="5"/>
  <c r="J25" i="5"/>
  <c r="J23" i="5"/>
  <c r="I5" i="5"/>
  <c r="J5" i="5" s="1"/>
  <c r="H48" i="5"/>
  <c r="H47" i="5"/>
  <c r="H42" i="5"/>
  <c r="H41" i="5"/>
  <c r="H32" i="5"/>
  <c r="H30" i="5"/>
  <c r="H29" i="5"/>
  <c r="H28" i="5"/>
  <c r="H9" i="5"/>
  <c r="H5" i="5"/>
  <c r="G22" i="5"/>
  <c r="H22" i="5" s="1"/>
  <c r="G20" i="5"/>
  <c r="H20" i="5" s="1"/>
  <c r="G19" i="5"/>
  <c r="H19" i="5" s="1"/>
  <c r="G15" i="5"/>
  <c r="H15" i="5" s="1"/>
  <c r="G14" i="5"/>
  <c r="H14" i="5" s="1"/>
  <c r="G13" i="5"/>
  <c r="H13" i="5" s="1"/>
  <c r="G11" i="5"/>
  <c r="H11" i="5" s="1"/>
  <c r="G10" i="5"/>
  <c r="H10" i="5" s="1"/>
  <c r="G9" i="5"/>
  <c r="G8" i="5"/>
  <c r="H8" i="5" s="1"/>
  <c r="G7" i="5"/>
  <c r="H7" i="5" s="1"/>
  <c r="G6" i="5"/>
  <c r="H6" i="5" s="1"/>
  <c r="G5" i="5"/>
  <c r="G56" i="5"/>
  <c r="H56" i="5" s="1"/>
  <c r="G55" i="5"/>
  <c r="H55" i="5" s="1"/>
  <c r="G51" i="5"/>
  <c r="H51" i="5" s="1"/>
  <c r="G50" i="5"/>
  <c r="H50" i="5" s="1"/>
  <c r="G49" i="5"/>
  <c r="H49" i="5" s="1"/>
  <c r="G48" i="5"/>
  <c r="G47" i="5"/>
  <c r="G46" i="5"/>
  <c r="H46" i="5" s="1"/>
  <c r="G45" i="5"/>
  <c r="H45" i="5" s="1"/>
  <c r="G44" i="5"/>
  <c r="H44" i="5" s="1"/>
  <c r="G43" i="5"/>
  <c r="H43" i="5" s="1"/>
  <c r="G42" i="5"/>
  <c r="G41" i="5"/>
  <c r="G37" i="5"/>
  <c r="H37" i="5" s="1"/>
  <c r="G36" i="5"/>
  <c r="H36" i="5" s="1"/>
  <c r="G35" i="5"/>
  <c r="H35" i="5" s="1"/>
  <c r="G34" i="5"/>
  <c r="H34" i="5" s="1"/>
  <c r="G33" i="5"/>
  <c r="H33" i="5" s="1"/>
  <c r="G32" i="5"/>
  <c r="G31" i="5"/>
  <c r="H31" i="5" s="1"/>
  <c r="G30" i="5"/>
  <c r="G29" i="5"/>
  <c r="G28" i="5"/>
  <c r="G27" i="5"/>
  <c r="H27" i="5" s="1"/>
  <c r="G26" i="5"/>
  <c r="H26" i="5" s="1"/>
  <c r="G25" i="5"/>
  <c r="H25" i="5" s="1"/>
  <c r="G24" i="5"/>
  <c r="H24" i="5" s="1"/>
  <c r="G23" i="5"/>
  <c r="H23" i="5" s="1"/>
  <c r="G21" i="5"/>
  <c r="H21" i="5" s="1"/>
  <c r="D61" i="5"/>
  <c r="I50" i="5"/>
  <c r="I49" i="5"/>
  <c r="I25" i="5"/>
  <c r="D52" i="5"/>
  <c r="D38" i="5"/>
  <c r="D12" i="5"/>
  <c r="D16" i="5" s="1"/>
  <c r="D60" i="5" s="1"/>
  <c r="D62" i="4"/>
  <c r="G73" i="4"/>
  <c r="H73" i="4" s="1"/>
  <c r="H71" i="4"/>
  <c r="G71" i="4"/>
  <c r="G70" i="4"/>
  <c r="H70" i="4" s="1"/>
  <c r="G69" i="4"/>
  <c r="H69" i="4" s="1"/>
  <c r="G68" i="4"/>
  <c r="H68" i="4" s="1"/>
  <c r="H67" i="4"/>
  <c r="G67" i="4"/>
  <c r="H66" i="4"/>
  <c r="G66" i="4"/>
  <c r="G65" i="4"/>
  <c r="H65" i="4" s="1"/>
  <c r="I76" i="4"/>
  <c r="J76" i="4" s="1"/>
  <c r="I74" i="4"/>
  <c r="J74" i="4" s="1"/>
  <c r="I73" i="4"/>
  <c r="J73" i="4" s="1"/>
  <c r="I71" i="4"/>
  <c r="J71" i="4" s="1"/>
  <c r="I70" i="4"/>
  <c r="J70" i="4" s="1"/>
  <c r="I69" i="4"/>
  <c r="J69" i="4" s="1"/>
  <c r="J68" i="4"/>
  <c r="I68" i="4"/>
  <c r="I67" i="4"/>
  <c r="J67" i="4" s="1"/>
  <c r="I66" i="4"/>
  <c r="J66" i="4" s="1"/>
  <c r="I65" i="4"/>
  <c r="J65" i="4" s="1"/>
  <c r="J62" i="4"/>
  <c r="I62" i="4"/>
  <c r="H59" i="4"/>
  <c r="H55" i="4"/>
  <c r="H47" i="4"/>
  <c r="H46" i="4"/>
  <c r="H45" i="4"/>
  <c r="H42" i="4"/>
  <c r="H41" i="4"/>
  <c r="H40" i="4"/>
  <c r="H30" i="4"/>
  <c r="H29" i="4"/>
  <c r="H24" i="4"/>
  <c r="H21" i="4"/>
  <c r="H20" i="4"/>
  <c r="H19" i="4"/>
  <c r="H18" i="4"/>
  <c r="H17" i="4"/>
  <c r="H16" i="4"/>
  <c r="H15" i="4"/>
  <c r="H14" i="4"/>
  <c r="H13" i="4"/>
  <c r="H12" i="4"/>
  <c r="H11" i="4"/>
  <c r="H10" i="4"/>
  <c r="H9" i="4"/>
  <c r="H8" i="4"/>
  <c r="H7" i="4"/>
  <c r="H6" i="4"/>
  <c r="J60" i="4"/>
  <c r="J59" i="4"/>
  <c r="J58" i="4"/>
  <c r="J57" i="4"/>
  <c r="J56" i="4"/>
  <c r="J55" i="4"/>
  <c r="J52" i="4"/>
  <c r="J51" i="4"/>
  <c r="J50" i="4"/>
  <c r="J49" i="4"/>
  <c r="J48" i="4"/>
  <c r="J47" i="4"/>
  <c r="J46" i="4"/>
  <c r="J45" i="4"/>
  <c r="J44" i="4"/>
  <c r="J43" i="4"/>
  <c r="J42" i="4"/>
  <c r="J41" i="4"/>
  <c r="J40" i="4"/>
  <c r="J39" i="4"/>
  <c r="J35" i="4"/>
  <c r="J33" i="4"/>
  <c r="J32" i="4"/>
  <c r="J31" i="4"/>
  <c r="J30" i="4"/>
  <c r="J29" i="4"/>
  <c r="J28" i="4"/>
  <c r="J27" i="4"/>
  <c r="J26" i="4"/>
  <c r="J25" i="4"/>
  <c r="J24" i="4"/>
  <c r="J21" i="4"/>
  <c r="J20" i="4"/>
  <c r="J19" i="4"/>
  <c r="J18" i="4"/>
  <c r="J17" i="4"/>
  <c r="J16" i="4"/>
  <c r="J15" i="4"/>
  <c r="J14" i="4"/>
  <c r="J13" i="4"/>
  <c r="J12" i="4"/>
  <c r="J11" i="4"/>
  <c r="J10" i="4"/>
  <c r="J9" i="4"/>
  <c r="J8" i="4"/>
  <c r="J7" i="4"/>
  <c r="J6" i="4"/>
  <c r="I21" i="4"/>
  <c r="I20" i="4"/>
  <c r="I19" i="4"/>
  <c r="I18" i="4"/>
  <c r="I17" i="4"/>
  <c r="I16" i="4"/>
  <c r="I15" i="4"/>
  <c r="I14" i="4"/>
  <c r="I13" i="4"/>
  <c r="I12" i="4"/>
  <c r="I11" i="4"/>
  <c r="I10" i="4"/>
  <c r="I9" i="4"/>
  <c r="I8" i="4"/>
  <c r="I7" i="4"/>
  <c r="I6" i="4"/>
  <c r="G20" i="4"/>
  <c r="G19" i="4"/>
  <c r="G18" i="4"/>
  <c r="G17" i="4"/>
  <c r="G16" i="4"/>
  <c r="G15" i="4"/>
  <c r="G14" i="4"/>
  <c r="G13" i="4"/>
  <c r="G12" i="4"/>
  <c r="G11" i="4"/>
  <c r="G10" i="4"/>
  <c r="G9" i="4"/>
  <c r="G8" i="4"/>
  <c r="G7" i="4"/>
  <c r="F21" i="4"/>
  <c r="E21" i="4"/>
  <c r="D21" i="4"/>
  <c r="G59" i="4"/>
  <c r="G58" i="4"/>
  <c r="H58" i="4" s="1"/>
  <c r="G57" i="4"/>
  <c r="H57" i="4" s="1"/>
  <c r="G56" i="4"/>
  <c r="H56" i="4" s="1"/>
  <c r="G55" i="4"/>
  <c r="G51" i="4"/>
  <c r="H51" i="4" s="1"/>
  <c r="G50" i="4"/>
  <c r="H50" i="4" s="1"/>
  <c r="G49" i="4"/>
  <c r="H49" i="4" s="1"/>
  <c r="G48" i="4"/>
  <c r="H48" i="4" s="1"/>
  <c r="G47" i="4"/>
  <c r="G46" i="4"/>
  <c r="G45" i="4"/>
  <c r="G44" i="4"/>
  <c r="H44" i="4" s="1"/>
  <c r="G43" i="4"/>
  <c r="H43" i="4" s="1"/>
  <c r="G42" i="4"/>
  <c r="G41" i="4"/>
  <c r="G40" i="4"/>
  <c r="G39" i="4"/>
  <c r="H39" i="4" s="1"/>
  <c r="G32" i="4"/>
  <c r="H32" i="4" s="1"/>
  <c r="G31" i="4"/>
  <c r="H31" i="4" s="1"/>
  <c r="G30" i="4"/>
  <c r="G29" i="4"/>
  <c r="G28" i="4"/>
  <c r="H28" i="4" s="1"/>
  <c r="G27" i="4"/>
  <c r="H27" i="4" s="1"/>
  <c r="G26" i="4"/>
  <c r="H26" i="4" s="1"/>
  <c r="G25" i="4"/>
  <c r="H25" i="4" s="1"/>
  <c r="G24" i="4"/>
  <c r="G6" i="4"/>
  <c r="D74" i="4"/>
  <c r="G74" i="4" s="1"/>
  <c r="H74" i="4" s="1"/>
  <c r="D60" i="4"/>
  <c r="D52" i="4"/>
  <c r="D33" i="4"/>
  <c r="G18" i="3"/>
  <c r="H18" i="3" s="1"/>
  <c r="I18" i="3"/>
  <c r="J18" i="3" s="1"/>
  <c r="G26" i="3"/>
  <c r="H26" i="3" s="1"/>
  <c r="G25" i="3"/>
  <c r="H25" i="3" s="1"/>
  <c r="G24" i="3"/>
  <c r="H24" i="3" s="1"/>
  <c r="G23" i="3"/>
  <c r="H23" i="3" s="1"/>
  <c r="G22" i="3"/>
  <c r="H22" i="3" s="1"/>
  <c r="G21" i="3"/>
  <c r="H21" i="3" s="1"/>
  <c r="G20" i="3"/>
  <c r="H20" i="3" s="1"/>
  <c r="G19" i="3"/>
  <c r="H19" i="3" s="1"/>
  <c r="G12" i="3"/>
  <c r="H12" i="3" s="1"/>
  <c r="G11" i="3"/>
  <c r="H11" i="3" s="1"/>
  <c r="G10" i="3"/>
  <c r="H10" i="3" s="1"/>
  <c r="G9" i="3"/>
  <c r="H9" i="3" s="1"/>
  <c r="G8" i="3"/>
  <c r="H8" i="3" s="1"/>
  <c r="G7" i="3"/>
  <c r="H7" i="3" s="1"/>
  <c r="G29" i="3"/>
  <c r="H29" i="3" s="1"/>
  <c r="I12" i="3"/>
  <c r="J12" i="3" s="1"/>
  <c r="I11" i="3"/>
  <c r="J11" i="3" s="1"/>
  <c r="I10" i="3"/>
  <c r="J10" i="3" s="1"/>
  <c r="I9" i="3"/>
  <c r="J9" i="3" s="1"/>
  <c r="I8" i="3"/>
  <c r="J8" i="3" s="1"/>
  <c r="I7" i="3"/>
  <c r="J7" i="3" s="1"/>
  <c r="G4" i="3"/>
  <c r="H4" i="3" s="1"/>
  <c r="C6" i="8" s="1"/>
  <c r="I4" i="3"/>
  <c r="D40" i="3"/>
  <c r="D41" i="3" s="1"/>
  <c r="D13" i="3"/>
  <c r="D15" i="3" s="1"/>
  <c r="G35" i="3"/>
  <c r="H35" i="3" s="1"/>
  <c r="G34" i="3"/>
  <c r="H34" i="3" s="1"/>
  <c r="I10" i="7"/>
  <c r="J10" i="7" s="1"/>
  <c r="I9" i="7"/>
  <c r="J9" i="7" s="1"/>
  <c r="I8" i="7"/>
  <c r="J8" i="7" s="1"/>
  <c r="I7" i="7"/>
  <c r="J7" i="7" s="1"/>
  <c r="I6" i="7"/>
  <c r="J6" i="7" s="1"/>
  <c r="J5" i="7"/>
  <c r="D11" i="7"/>
  <c r="E11" i="7"/>
  <c r="D5" i="8"/>
  <c r="C5" i="8"/>
  <c r="I56" i="5"/>
  <c r="J56" i="5" s="1"/>
  <c r="I55" i="5"/>
  <c r="J55" i="5" s="1"/>
  <c r="I51" i="5"/>
  <c r="J51" i="5" s="1"/>
  <c r="I48" i="5"/>
  <c r="J48" i="5" s="1"/>
  <c r="I47" i="5"/>
  <c r="J47" i="5" s="1"/>
  <c r="I46" i="5"/>
  <c r="J46" i="5" s="1"/>
  <c r="I45" i="5"/>
  <c r="J45" i="5" s="1"/>
  <c r="I44" i="5"/>
  <c r="J44" i="5" s="1"/>
  <c r="I43" i="5"/>
  <c r="J43" i="5" s="1"/>
  <c r="I42" i="5"/>
  <c r="I41" i="5"/>
  <c r="J41" i="5" s="1"/>
  <c r="F61" i="5"/>
  <c r="E61" i="5"/>
  <c r="G61" i="5" s="1"/>
  <c r="E52" i="5"/>
  <c r="G52" i="5" s="1"/>
  <c r="F52" i="5"/>
  <c r="I37" i="5"/>
  <c r="J37" i="5" s="1"/>
  <c r="I36" i="5"/>
  <c r="J36" i="5" s="1"/>
  <c r="I35" i="5"/>
  <c r="J35" i="5" s="1"/>
  <c r="I34" i="5"/>
  <c r="J34" i="5" s="1"/>
  <c r="I33" i="5"/>
  <c r="J33" i="5" s="1"/>
  <c r="I32" i="5"/>
  <c r="J32" i="5" s="1"/>
  <c r="I31" i="5"/>
  <c r="J31" i="5" s="1"/>
  <c r="I30" i="5"/>
  <c r="J30" i="5" s="1"/>
  <c r="I29" i="5"/>
  <c r="I28" i="5"/>
  <c r="I27" i="5"/>
  <c r="J27" i="5" s="1"/>
  <c r="I26" i="5"/>
  <c r="J26" i="5" s="1"/>
  <c r="I24" i="5"/>
  <c r="J24" i="5" s="1"/>
  <c r="I23" i="5"/>
  <c r="I22" i="5"/>
  <c r="J22" i="5" s="1"/>
  <c r="I21" i="5"/>
  <c r="J21" i="5" s="1"/>
  <c r="I20" i="5"/>
  <c r="J20" i="5" s="1"/>
  <c r="I19" i="5"/>
  <c r="J19" i="5" s="1"/>
  <c r="E38" i="5"/>
  <c r="F38" i="5"/>
  <c r="I15" i="5"/>
  <c r="J15" i="5" s="1"/>
  <c r="I14" i="5"/>
  <c r="J14" i="5" s="1"/>
  <c r="I13" i="5"/>
  <c r="J13" i="5" s="1"/>
  <c r="I11" i="5"/>
  <c r="J11" i="5" s="1"/>
  <c r="I10" i="5"/>
  <c r="J10" i="5" s="1"/>
  <c r="I9" i="5"/>
  <c r="J9" i="5" s="1"/>
  <c r="I8" i="5"/>
  <c r="J8" i="5" s="1"/>
  <c r="I7" i="5"/>
  <c r="J7" i="5" s="1"/>
  <c r="I6" i="5"/>
  <c r="J6" i="5" s="1"/>
  <c r="E12" i="5"/>
  <c r="G12" i="5" s="1"/>
  <c r="H12" i="5" s="1"/>
  <c r="F12" i="5"/>
  <c r="F16" i="5" s="1"/>
  <c r="F60" i="5" s="1"/>
  <c r="E74" i="4"/>
  <c r="F74" i="4"/>
  <c r="I59" i="4"/>
  <c r="I58" i="4"/>
  <c r="I57" i="4"/>
  <c r="I56" i="4"/>
  <c r="I55" i="4"/>
  <c r="F60" i="4"/>
  <c r="E60" i="4"/>
  <c r="G60" i="4" s="1"/>
  <c r="I51" i="4"/>
  <c r="I50" i="4"/>
  <c r="I49" i="4"/>
  <c r="I48" i="4"/>
  <c r="I47" i="4"/>
  <c r="I46" i="4"/>
  <c r="I45" i="4"/>
  <c r="I44" i="4"/>
  <c r="I43" i="4"/>
  <c r="I42" i="4"/>
  <c r="I41" i="4"/>
  <c r="I40" i="4"/>
  <c r="I39" i="4"/>
  <c r="E52" i="4"/>
  <c r="F52" i="4"/>
  <c r="F62" i="4" s="1"/>
  <c r="I32" i="4"/>
  <c r="I31" i="4"/>
  <c r="I30" i="4"/>
  <c r="I29" i="4"/>
  <c r="I28" i="4"/>
  <c r="I27" i="4"/>
  <c r="I26" i="4"/>
  <c r="I25" i="4"/>
  <c r="I24" i="4"/>
  <c r="E33" i="4"/>
  <c r="F33" i="4"/>
  <c r="I35" i="3"/>
  <c r="J35" i="3" s="1"/>
  <c r="I34" i="3"/>
  <c r="J34" i="3" s="1"/>
  <c r="I29" i="3"/>
  <c r="J29" i="3" s="1"/>
  <c r="I19" i="3"/>
  <c r="J19" i="3" s="1"/>
  <c r="I26" i="3"/>
  <c r="J26" i="3" s="1"/>
  <c r="I25" i="3"/>
  <c r="J25" i="3" s="1"/>
  <c r="I24" i="3"/>
  <c r="J24" i="3" s="1"/>
  <c r="I23" i="3"/>
  <c r="J23" i="3" s="1"/>
  <c r="I22" i="3"/>
  <c r="J22" i="3" s="1"/>
  <c r="I21" i="3"/>
  <c r="J21" i="3" s="1"/>
  <c r="I20" i="3"/>
  <c r="J20" i="3" s="1"/>
  <c r="F40" i="3"/>
  <c r="F41" i="3" s="1"/>
  <c r="E40" i="3"/>
  <c r="E41" i="3" s="1"/>
  <c r="K42" i="3" l="1"/>
  <c r="K44" i="3"/>
  <c r="K47" i="3" s="1"/>
  <c r="K7" i="7"/>
  <c r="D16" i="8"/>
  <c r="F47" i="3"/>
  <c r="D47" i="3"/>
  <c r="D62" i="5"/>
  <c r="D50" i="3" s="1"/>
  <c r="E5" i="8"/>
  <c r="H9" i="7"/>
  <c r="H10" i="7"/>
  <c r="H8" i="7"/>
  <c r="H7" i="7"/>
  <c r="H6" i="7"/>
  <c r="H5" i="7"/>
  <c r="K11" i="7"/>
  <c r="K5" i="7"/>
  <c r="M27" i="3"/>
  <c r="M42" i="3"/>
  <c r="M44" i="3"/>
  <c r="K27" i="3"/>
  <c r="K43" i="3" s="1"/>
  <c r="L44" i="3"/>
  <c r="L42" i="3"/>
  <c r="L27" i="3"/>
  <c r="G38" i="5"/>
  <c r="H61" i="5"/>
  <c r="H52" i="5"/>
  <c r="H38" i="5"/>
  <c r="F62" i="5"/>
  <c r="I11" i="7"/>
  <c r="J11" i="7" s="1"/>
  <c r="K9" i="7"/>
  <c r="K6" i="7"/>
  <c r="K10" i="7"/>
  <c r="K8" i="7"/>
  <c r="I61" i="5"/>
  <c r="J61" i="5" s="1"/>
  <c r="I52" i="5"/>
  <c r="J52" i="5" s="1"/>
  <c r="I38" i="5"/>
  <c r="J38" i="5" s="1"/>
  <c r="D54" i="5"/>
  <c r="F54" i="5"/>
  <c r="F57" i="5" s="1"/>
  <c r="H60" i="4"/>
  <c r="D76" i="4"/>
  <c r="G76" i="4" s="1"/>
  <c r="H76" i="4" s="1"/>
  <c r="G52" i="4"/>
  <c r="H52" i="4" s="1"/>
  <c r="D35" i="4"/>
  <c r="G33" i="4"/>
  <c r="H33" i="4" s="1"/>
  <c r="G21" i="4"/>
  <c r="F35" i="4"/>
  <c r="F79" i="4" s="1"/>
  <c r="I33" i="4"/>
  <c r="E35" i="4"/>
  <c r="E62" i="4"/>
  <c r="F76" i="4"/>
  <c r="I52" i="4"/>
  <c r="I12" i="5"/>
  <c r="J12" i="5" s="1"/>
  <c r="E16" i="5"/>
  <c r="E76" i="4"/>
  <c r="I60" i="4"/>
  <c r="D63" i="5" l="1"/>
  <c r="D17" i="8"/>
  <c r="F50" i="3"/>
  <c r="H11" i="7"/>
  <c r="L45" i="3"/>
  <c r="K45" i="3"/>
  <c r="M45" i="3"/>
  <c r="K31" i="3"/>
  <c r="L31" i="3"/>
  <c r="L43" i="3"/>
  <c r="M43" i="3"/>
  <c r="M31" i="3"/>
  <c r="D57" i="5"/>
  <c r="G16" i="5"/>
  <c r="H16" i="5" s="1"/>
  <c r="D42" i="3"/>
  <c r="D44" i="3"/>
  <c r="D45" i="3" s="1"/>
  <c r="I16" i="5"/>
  <c r="J16" i="5" s="1"/>
  <c r="E54" i="5"/>
  <c r="E60" i="5"/>
  <c r="F63" i="5"/>
  <c r="D18" i="8" s="1"/>
  <c r="G62" i="4"/>
  <c r="H62" i="4" s="1"/>
  <c r="D79" i="4"/>
  <c r="G35" i="4"/>
  <c r="H35" i="4" s="1"/>
  <c r="I35" i="4"/>
  <c r="D27" i="3"/>
  <c r="D43" i="3" s="1"/>
  <c r="E79" i="4"/>
  <c r="D48" i="3" l="1"/>
  <c r="E47" i="3"/>
  <c r="C16" i="8"/>
  <c r="E16" i="8" s="1"/>
  <c r="G54" i="5"/>
  <c r="H54" i="5" s="1"/>
  <c r="E62" i="5"/>
  <c r="G60" i="5"/>
  <c r="H60" i="5" s="1"/>
  <c r="I60" i="5"/>
  <c r="J60" i="5" s="1"/>
  <c r="E57" i="5"/>
  <c r="I54" i="5"/>
  <c r="J54" i="5" s="1"/>
  <c r="D31" i="3"/>
  <c r="F13" i="3"/>
  <c r="F15" i="3" s="1"/>
  <c r="E13" i="3"/>
  <c r="E15" i="3" s="1"/>
  <c r="J4" i="3"/>
  <c r="D6" i="8" s="1"/>
  <c r="E6" i="8" s="1"/>
  <c r="F27" i="3" l="1"/>
  <c r="D11" i="8"/>
  <c r="G15" i="3"/>
  <c r="C11" i="8"/>
  <c r="G62" i="5"/>
  <c r="H62" i="5" s="1"/>
  <c r="C17" i="8"/>
  <c r="E17" i="8" s="1"/>
  <c r="E50" i="3"/>
  <c r="I57" i="5"/>
  <c r="J57" i="5" s="1"/>
  <c r="G57" i="5"/>
  <c r="H57" i="5" s="1"/>
  <c r="I13" i="3"/>
  <c r="J13" i="3" s="1"/>
  <c r="H15" i="3"/>
  <c r="G13" i="3"/>
  <c r="H13" i="3" s="1"/>
  <c r="E63" i="5"/>
  <c r="C18" i="8" s="1"/>
  <c r="E18" i="8" s="1"/>
  <c r="I62" i="5"/>
  <c r="J62" i="5" s="1"/>
  <c r="E44" i="3"/>
  <c r="E45" i="3" s="1"/>
  <c r="E42" i="3"/>
  <c r="F44" i="3"/>
  <c r="F42" i="3"/>
  <c r="F45" i="3" l="1"/>
  <c r="F48" i="3"/>
  <c r="E48" i="3"/>
  <c r="E11" i="8"/>
  <c r="E27" i="3"/>
  <c r="G27" i="3" s="1"/>
  <c r="H27" i="3" s="1"/>
  <c r="I15" i="3"/>
  <c r="J15" i="3" s="1"/>
  <c r="J63" i="5"/>
  <c r="G63" i="5"/>
  <c r="H63" i="5" s="1"/>
  <c r="M47" i="3" l="1"/>
  <c r="M50" i="3" s="1"/>
  <c r="M51" i="3" s="1"/>
  <c r="K50" i="3"/>
  <c r="K51" i="3" s="1"/>
  <c r="L47" i="3"/>
  <c r="L50" i="3" s="1"/>
  <c r="L51" i="3" s="1"/>
  <c r="E31" i="3"/>
  <c r="I27" i="3"/>
  <c r="J27" i="3" s="1"/>
  <c r="E43" i="3"/>
  <c r="F43" i="3"/>
  <c r="F31" i="3"/>
  <c r="D12" i="8" s="1"/>
  <c r="C12" i="8" l="1"/>
  <c r="E12" i="8" s="1"/>
  <c r="G31" i="3"/>
  <c r="H31" i="3" s="1"/>
  <c r="I31" i="3"/>
  <c r="J3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Nur Syahraini</author>
  </authors>
  <commentList>
    <comment ref="E27" authorId="0" shapeId="0" xr:uid="{7B300D0F-EC7A-4D92-BDC0-A6D9D8CA1368}">
      <text>
        <r>
          <rPr>
            <b/>
            <sz val="9"/>
            <color indexed="81"/>
            <rFont val="Tahoma"/>
            <family val="2"/>
          </rPr>
          <t>Nur Syahraini:</t>
        </r>
        <r>
          <rPr>
            <sz val="9"/>
            <color indexed="81"/>
            <rFont val="Tahoma"/>
            <family val="2"/>
          </rPr>
          <t xml:space="preserve">
Naik Rp7,3T dari FY2023. Kemungkinan akuisisi besar atau revaluasi. Terhubung ke Share of Net Profit Assoc yang swing +Rp2,55T di IS FY25. Perlu cek CALK Note 14.</t>
        </r>
      </text>
    </comment>
  </commentList>
</comments>
</file>

<file path=xl/sharedStrings.xml><?xml version="1.0" encoding="utf-8"?>
<sst xmlns="http://schemas.openxmlformats.org/spreadsheetml/2006/main" count="586" uniqueCount="458">
  <si>
    <t>GOTO (GOTO.JK) — FINANCIAL ANALYSIS MODEL</t>
  </si>
  <si>
    <t>PT GoTo Gojek Tokopedia Tbk  |  FY2024–FY2025 Actuals</t>
  </si>
  <si>
    <t>Sheet Index</t>
  </si>
  <si>
    <t>Description</t>
  </si>
  <si>
    <t>Status</t>
  </si>
  <si>
    <t>COVER</t>
  </si>
  <si>
    <t>Model index &amp; color guide</t>
  </si>
  <si>
    <t>✓</t>
  </si>
  <si>
    <t>ASSUMPTIONS</t>
  </si>
  <si>
    <t>Key drivers, growth rates &amp; margin inputs</t>
  </si>
  <si>
    <t>→ Fill</t>
  </si>
  <si>
    <t>IS</t>
  </si>
  <si>
    <t>Income Statement — FY2024 &amp; FY2025 actuals</t>
  </si>
  <si>
    <t>BS</t>
  </si>
  <si>
    <t>Balance Sheet — FY2024 &amp; FY2025 actuals</t>
  </si>
  <si>
    <t>CF</t>
  </si>
  <si>
    <t>Cash Flow Statement — FY2024 &amp; FY2025</t>
  </si>
  <si>
    <t>RATIOS</t>
  </si>
  <si>
    <t>Profitability, liquidity &amp; efficiency ratios</t>
  </si>
  <si>
    <t>→ formula</t>
  </si>
  <si>
    <t>SEGMENT</t>
  </si>
  <si>
    <t>Revenue &amp; GTV breakdown by business unit</t>
  </si>
  <si>
    <t>KPI</t>
  </si>
  <si>
    <t>Tech-specific KPIs (GTV, take rate, EBITDA)</t>
  </si>
  <si>
    <t>Color Coding Convention</t>
  </si>
  <si>
    <t>Blue text</t>
  </si>
  <si>
    <t>Hardcoded input — numbers you type from LK</t>
  </si>
  <si>
    <t>Green text</t>
  </si>
  <si>
    <t>Formula linking from another sheet in this workbook</t>
  </si>
  <si>
    <t>Red text</t>
  </si>
  <si>
    <t>External link (e.g., Bloomberg, consensus estimates)</t>
  </si>
  <si>
    <t>Black text</t>
  </si>
  <si>
    <t>Formula calculated within this sheet</t>
  </si>
  <si>
    <t>Yellow bg</t>
  </si>
  <si>
    <t>Key assumption — review before use</t>
  </si>
  <si>
    <t>Units: All financial figures in IDR Millions (Rp Juta) unless stated.</t>
  </si>
  <si>
    <t>Source: PT GoTo Gojek Tokopedia Tbk — Laporan Keuangan Konsolidasian 31 Desember 2025.</t>
  </si>
  <si>
    <t>GOTO — Key Assumptions &amp; Drivers</t>
  </si>
  <si>
    <t>Assumption / Driver</t>
  </si>
  <si>
    <t>FY2024</t>
  </si>
  <si>
    <t>FY2025</t>
  </si>
  <si>
    <t>A.  REVENUE ASSUMPTIONS</t>
  </si>
  <si>
    <t>Net Revenue (Rp Juta)</t>
  </si>
  <si>
    <t>YoY Revenue Growth (%)</t>
  </si>
  <si>
    <t xml:space="preserve">  On-Demand Take Rate</t>
  </si>
  <si>
    <t xml:space="preserve">  E-commerce Take Rate</t>
  </si>
  <si>
    <t xml:space="preserve">  Financial Services Take Rate</t>
  </si>
  <si>
    <t>Gross Profit Margin (%)</t>
  </si>
  <si>
    <t>Operating Loss Margin (%)</t>
  </si>
  <si>
    <t>Net Loss Margin (%)</t>
  </si>
  <si>
    <t>G&amp;A as % of Revenue</t>
  </si>
  <si>
    <t>Cash &amp; Equivalents (Rp Juta)</t>
  </si>
  <si>
    <t>Cash as % of Total Assets</t>
  </si>
  <si>
    <t>Total Debt (Rp Juta)</t>
  </si>
  <si>
    <t>Capex as % of Revenue</t>
  </si>
  <si>
    <t>FCF Margin (%)</t>
  </si>
  <si>
    <t>GOTO (GOTO.JK) — Consolidated Income Statement</t>
  </si>
  <si>
    <t>For the year ended 31 December  |  Rp Juta (IDR Millions)</t>
  </si>
  <si>
    <t>Line Item</t>
  </si>
  <si>
    <t>Note</t>
  </si>
  <si>
    <t>NET REVENUES</t>
  </si>
  <si>
    <t>25</t>
  </si>
  <si>
    <t>Costs and Expenses</t>
  </si>
  <si>
    <t xml:space="preserve">  Cost of Revenues</t>
  </si>
  <si>
    <t>26</t>
  </si>
  <si>
    <t xml:space="preserve">  General &amp; Administrative Expenses</t>
  </si>
  <si>
    <t xml:space="preserve">  Sales &amp; Marketing Expenses</t>
  </si>
  <si>
    <t xml:space="preserve">  Product Development Expenses</t>
  </si>
  <si>
    <t xml:space="preserve">  Operational &amp; Support Expenses</t>
  </si>
  <si>
    <t xml:space="preserve">  Depreciation &amp; Amortization</t>
  </si>
  <si>
    <t>TOTAL COSTS AND EXPENSES</t>
  </si>
  <si>
    <t>LOSS FROM OPERATIONS</t>
  </si>
  <si>
    <t>Other Income / (Expenses)</t>
  </si>
  <si>
    <t xml:space="preserve">  Finance Income</t>
  </si>
  <si>
    <t>27a</t>
  </si>
  <si>
    <t xml:space="preserve">  Finance Costs</t>
  </si>
  <si>
    <t>27b</t>
  </si>
  <si>
    <t xml:space="preserve">  Foreign Exchange Gain/(Loss), net</t>
  </si>
  <si>
    <t xml:space="preserve">  Loss on Goodwill Impairment</t>
  </si>
  <si>
    <t>34a</t>
  </si>
  <si>
    <t xml:space="preserve">  Loss on Impairment (Intangible+FA)</t>
  </si>
  <si>
    <t xml:space="preserve">  Loss on Investment Impairment</t>
  </si>
  <si>
    <t xml:space="preserve">  Fair Value Adjustment (Fin. Inst.)</t>
  </si>
  <si>
    <t xml:space="preserve">  Share of Net Profit/(Loss) Assoc.</t>
  </si>
  <si>
    <t xml:space="preserve">  Other Income/(Expenses), net</t>
  </si>
  <si>
    <t>28</t>
  </si>
  <si>
    <t>LOSS BEFORE INCOME TAX</t>
  </si>
  <si>
    <t>Income Tax Expense</t>
  </si>
  <si>
    <t>11c</t>
  </si>
  <si>
    <t>LOSS FOR THE YEAR</t>
  </si>
  <si>
    <t>Attributable to:</t>
  </si>
  <si>
    <t xml:space="preserve">  Owners of the Parent</t>
  </si>
  <si>
    <t xml:space="preserve">  Non-Controlling Interests</t>
  </si>
  <si>
    <t>Loss per Share — Basic &amp; Diluted (Rp, full amount)</t>
  </si>
  <si>
    <t>31</t>
  </si>
  <si>
    <t>── MEMO ITEMS ──────────────────────</t>
  </si>
  <si>
    <t>Gross Profit</t>
  </si>
  <si>
    <t>EBITDA (Operating Loss + D&amp;A)</t>
  </si>
  <si>
    <t>EBITDA Margin (%)</t>
  </si>
  <si>
    <t>GOTO (GOTO.JK) — Consolidated Balance Sheet (Statement of Financial Position)</t>
  </si>
  <si>
    <t>As of 31 December  |  Rp Juta (IDR Millions)</t>
  </si>
  <si>
    <t>ASSETS</t>
  </si>
  <si>
    <t>CURRENT ASSETS</t>
  </si>
  <si>
    <t xml:space="preserve">  Cash &amp; Cash Equivalents</t>
  </si>
  <si>
    <t>4</t>
  </si>
  <si>
    <t xml:space="preserve">  Time Deposits</t>
  </si>
  <si>
    <t>5</t>
  </si>
  <si>
    <t xml:space="preserve">  Restricted Cash</t>
  </si>
  <si>
    <t>20a</t>
  </si>
  <si>
    <t xml:space="preserve">  Trade Receivables — Third Parties</t>
  </si>
  <si>
    <t>6</t>
  </si>
  <si>
    <t xml:space="preserve">  Trade Receivables — Related Parties</t>
  </si>
  <si>
    <t>30c</t>
  </si>
  <si>
    <t xml:space="preserve">  Financing &amp; Lending Receivables</t>
  </si>
  <si>
    <t>7</t>
  </si>
  <si>
    <t xml:space="preserve">  Other Receivables — Third Parties</t>
  </si>
  <si>
    <t>8</t>
  </si>
  <si>
    <t xml:space="preserve">  Other Receivables — Related Parties</t>
  </si>
  <si>
    <t xml:space="preserve">  Inventories</t>
  </si>
  <si>
    <t>9</t>
  </si>
  <si>
    <t xml:space="preserve">  Advances</t>
  </si>
  <si>
    <t>10a</t>
  </si>
  <si>
    <t xml:space="preserve">  Prepayments</t>
  </si>
  <si>
    <t>10b</t>
  </si>
  <si>
    <t xml:space="preserve">  Prepaid Taxes (Corp. Income Tax)</t>
  </si>
  <si>
    <t>11a</t>
  </si>
  <si>
    <t xml:space="preserve">  Prepaid Taxes (Other)</t>
  </si>
  <si>
    <t>15</t>
  </si>
  <si>
    <t>TOTAL CURRENT ASSETS</t>
  </si>
  <si>
    <t>NON-CURRENT ASSETS</t>
  </si>
  <si>
    <t xml:space="preserve">  Other Receivables (non-current)</t>
  </si>
  <si>
    <t xml:space="preserve">  Intangible Assets</t>
  </si>
  <si>
    <t>12</t>
  </si>
  <si>
    <t xml:space="preserve">  Fixed Assets</t>
  </si>
  <si>
    <t>13</t>
  </si>
  <si>
    <t xml:space="preserve">  Investment in Associates</t>
  </si>
  <si>
    <t>14</t>
  </si>
  <si>
    <t xml:space="preserve">  Investment in Joint Ventures</t>
  </si>
  <si>
    <t xml:space="preserve">  Other Investments (non-current)</t>
  </si>
  <si>
    <t xml:space="preserve">  Deferred Tax Assets</t>
  </si>
  <si>
    <t>11d</t>
  </si>
  <si>
    <t xml:space="preserve">  Goodwill</t>
  </si>
  <si>
    <t xml:space="preserve">  Other Non-Current Assets</t>
  </si>
  <si>
    <t>TOTAL NON-CURRENT ASSETS</t>
  </si>
  <si>
    <t>TOTAL ASSETS</t>
  </si>
  <si>
    <t>LIABILITIES &amp; EQUITY</t>
  </si>
  <si>
    <t>CURRENT LIABILITIES</t>
  </si>
  <si>
    <t xml:space="preserve">  Trade Payables — Third Parties</t>
  </si>
  <si>
    <t>16</t>
  </si>
  <si>
    <t xml:space="preserve">  Trade Payables — Related Parties</t>
  </si>
  <si>
    <t xml:space="preserve">  Escrow &amp; Other Payables — Third Parties</t>
  </si>
  <si>
    <t>17</t>
  </si>
  <si>
    <t xml:space="preserve">  Escrow &amp; Other Payables — Related Parties</t>
  </si>
  <si>
    <t xml:space="preserve">  Deferred Revenue</t>
  </si>
  <si>
    <t xml:space="preserve">  Accruals</t>
  </si>
  <si>
    <t>18</t>
  </si>
  <si>
    <t xml:space="preserve">  Employee Benefits (short-term)</t>
  </si>
  <si>
    <t>21a</t>
  </si>
  <si>
    <t xml:space="preserve">  Taxes Payable (Corp. Income Tax)</t>
  </si>
  <si>
    <t>11b</t>
  </si>
  <si>
    <t xml:space="preserve">  Taxes Payable (Other)</t>
  </si>
  <si>
    <t xml:space="preserve">  Short-term Borrowings</t>
  </si>
  <si>
    <t xml:space="preserve">  Current Portion: Bank Loans</t>
  </si>
  <si>
    <t>20b</t>
  </si>
  <si>
    <t xml:space="preserve">  Current Portion: Non-bank Loans</t>
  </si>
  <si>
    <t>20c</t>
  </si>
  <si>
    <t xml:space="preserve">  Current Portion: Lease Liabilities</t>
  </si>
  <si>
    <t>19</t>
  </si>
  <si>
    <t>TOTAL CURRENT LIABILITIES</t>
  </si>
  <si>
    <t>NON-CURRENT LIABILITIES</t>
  </si>
  <si>
    <t xml:space="preserve">  Deferred Tax Liabilities</t>
  </si>
  <si>
    <t xml:space="preserve">  Employee Benefits Obligation (LT)</t>
  </si>
  <si>
    <t>21b</t>
  </si>
  <si>
    <t xml:space="preserve">  Long-term Debt: Bank Loans</t>
  </si>
  <si>
    <t xml:space="preserve">  Long-term Debt: Non-bank Loans</t>
  </si>
  <si>
    <t xml:space="preserve">  Long-term Debt: Lease Liabilities</t>
  </si>
  <si>
    <t>TOTAL NON-CURRENT LIABILITIES</t>
  </si>
  <si>
    <t>TOTAL LIABILITIES</t>
  </si>
  <si>
    <t>EQUITY</t>
  </si>
  <si>
    <t xml:space="preserve">  Share Capital</t>
  </si>
  <si>
    <t>22</t>
  </si>
  <si>
    <t xml:space="preserve">  Additional Paid-in Capital</t>
  </si>
  <si>
    <t xml:space="preserve">  Treasury Shares</t>
  </si>
  <si>
    <t xml:space="preserve">  Share-based Compensation Reserve</t>
  </si>
  <si>
    <t>23</t>
  </si>
  <si>
    <t xml:space="preserve">  FX Translation Reserve</t>
  </si>
  <si>
    <t xml:space="preserve">  Transaction with NCI</t>
  </si>
  <si>
    <t>34b</t>
  </si>
  <si>
    <t xml:space="preserve">  Accumulated Losses</t>
  </si>
  <si>
    <t>Equity Attr. to Owners of Parent</t>
  </si>
  <si>
    <t>24</t>
  </si>
  <si>
    <t>TOTAL EQUITY</t>
  </si>
  <si>
    <t>TOTAL LIABILITIES AND EQUITY</t>
  </si>
  <si>
    <t>── CHECK ────────────────────────────</t>
  </si>
  <si>
    <t>Balance Check (Assets = Liab + Equity)</t>
  </si>
  <si>
    <t>GOTO (GOTO.JK) — Consolidated Statement of Cash Flows</t>
  </si>
  <si>
    <t>For the year ended 31 December  |  Rp Juta (IDR Millions)  |  Direct Method</t>
  </si>
  <si>
    <t>OPERATING ACTIVITIES</t>
  </si>
  <si>
    <t xml:space="preserve">  Cash receipts from customers</t>
  </si>
  <si>
    <t xml:space="preserve">  Financing &amp; lending disbursed to users, net</t>
  </si>
  <si>
    <t xml:space="preserve">  Payments to employees</t>
  </si>
  <si>
    <t xml:space="preserve">  Other payments</t>
  </si>
  <si>
    <t>Cash from/(used in) Operations (before tax)</t>
  </si>
  <si>
    <t xml:space="preserve">  Corporate income tax paid</t>
  </si>
  <si>
    <t xml:space="preserve">  Finance income received</t>
  </si>
  <si>
    <t xml:space="preserve">  Finance costs paid</t>
  </si>
  <si>
    <t>NET CASH FROM/(USED IN) OPERATING ACTIVITIES</t>
  </si>
  <si>
    <t>INVESTING ACTIVITIES</t>
  </si>
  <si>
    <t xml:space="preserve">  Purchase of intangible assets</t>
  </si>
  <si>
    <t xml:space="preserve">  Purchase of fixed assets</t>
  </si>
  <si>
    <t xml:space="preserve">  Proceeds from sale of fixed assets</t>
  </si>
  <si>
    <t xml:space="preserve">  Addition of investments in assoc./JV</t>
  </si>
  <si>
    <t xml:space="preserve">  Proceeds from sale of investments in JV</t>
  </si>
  <si>
    <t xml:space="preserve">  Net cash on loss of control in subsidiary</t>
  </si>
  <si>
    <t xml:space="preserve">  Proceeds from disposal of subsidiary interest</t>
  </si>
  <si>
    <t xml:space="preserve">  Settlement of time deposits, net</t>
  </si>
  <si>
    <t xml:space="preserve">  Placement in restricted cash</t>
  </si>
  <si>
    <t>NET CASH FROM/(USED IN) INVESTING ACTIVITIES</t>
  </si>
  <si>
    <t>FINANCING ACTIVITIES</t>
  </si>
  <si>
    <t xml:space="preserve">  Proceeds from third-party loans</t>
  </si>
  <si>
    <t>32</t>
  </si>
  <si>
    <t xml:space="preserve">  Transaction costs on loans</t>
  </si>
  <si>
    <t xml:space="preserve">  Repayment of third-party loans</t>
  </si>
  <si>
    <t xml:space="preserve">  Payment of lease liabilities (principal)</t>
  </si>
  <si>
    <t xml:space="preserve">  Acquisition of NCI</t>
  </si>
  <si>
    <t xml:space="preserve">  Capital injection from NCI</t>
  </si>
  <si>
    <t xml:space="preserve">  Acquisition of treasury shares</t>
  </si>
  <si>
    <t>NET CASH FROM FINANCING ACTIVITIES</t>
  </si>
  <si>
    <t>NET INCREASE/(DECREASE) IN CASH</t>
  </si>
  <si>
    <t>Cash at Beginning of Year</t>
  </si>
  <si>
    <t>FX Effect on Cash</t>
  </si>
  <si>
    <t>CASH AT END OF YEAR</t>
  </si>
  <si>
    <t>── MEMO: FREE CASH FLOW ────────────</t>
  </si>
  <si>
    <t>Operating Cash Flow</t>
  </si>
  <si>
    <t>Less: Capex (Intangibles + Fixed Assets)</t>
  </si>
  <si>
    <t>FREE CASH FLOW</t>
  </si>
  <si>
    <t>GOTO (GOTO.JK) — Ratio Analysis</t>
  </si>
  <si>
    <t>All ratios calculated from IS / BS / CF sheets</t>
  </si>
  <si>
    <t>Ratio</t>
  </si>
  <si>
    <t>Δ</t>
  </si>
  <si>
    <t>Interpretation Guide</t>
  </si>
  <si>
    <t>A.  PROFITABILITY RATIOS</t>
  </si>
  <si>
    <t>Gross Profit Margin</t>
  </si>
  <si>
    <t>Higher = more efficient cost of delivery</t>
  </si>
  <si>
    <t>Operating Loss Margin</t>
  </si>
  <si>
    <t>Narrowing loss = path to profitability</t>
  </si>
  <si>
    <t>Net Loss Margin</t>
  </si>
  <si>
    <t>Comprehensive bottom-line efficiency</t>
  </si>
  <si>
    <t>Adjusted EBITDA Margin</t>
  </si>
  <si>
    <t>Management KPI — operational cash generation</t>
  </si>
  <si>
    <t>Return on Assets (ROA)</t>
  </si>
  <si>
    <t>Loss / Avg Total Assets</t>
  </si>
  <si>
    <t>Return on Equity (ROE)</t>
  </si>
  <si>
    <t>Loss / Avg Total Equity</t>
  </si>
  <si>
    <t>B.  LIQUIDITY RATIOS</t>
  </si>
  <si>
    <t>Current Ratio</t>
  </si>
  <si>
    <t>&gt;1.0x = current assets cover current liabilities</t>
  </si>
  <si>
    <t>Quick Ratio</t>
  </si>
  <si>
    <t>(Current Assets - Inventories) / Current Liabilities</t>
  </si>
  <si>
    <t>Cash Ratio</t>
  </si>
  <si>
    <t>Cash / Current Liabilities — most conservative</t>
  </si>
  <si>
    <t>Absolute cash position</t>
  </si>
  <si>
    <t>Liquidity concentration — GOTO very high</t>
  </si>
  <si>
    <t>C.  LEVERAGE / SOLVENCY RATIOS</t>
  </si>
  <si>
    <t>ST + LT borrowings, excl. leases</t>
  </si>
  <si>
    <t>Net Cash / (Net Debt) (Rp Juta)</t>
  </si>
  <si>
    <t>Positive = net cash company</t>
  </si>
  <si>
    <t>Debt-to-Equity Ratio</t>
  </si>
  <si>
    <t>Total Liabilities / Total Equity</t>
  </si>
  <si>
    <t>Debt-to-Assets Ratio</t>
  </si>
  <si>
    <t>Total Liabilities / Total Assets</t>
  </si>
  <si>
    <t>Interest Coverage (EBITDA/Interest)</t>
  </si>
  <si>
    <t>Ability to service debt — negative EBITDA = n/m</t>
  </si>
  <si>
    <t>D.  EFFICIENCY RATIOS</t>
  </si>
  <si>
    <t>Asset Turnover</t>
  </si>
  <si>
    <t>Revenue / Avg Total Assets</t>
  </si>
  <si>
    <t>Receivables Turnover</t>
  </si>
  <si>
    <t>Revenue / Avg Trade Receivables</t>
  </si>
  <si>
    <t>Cost discipline — should decline over time</t>
  </si>
  <si>
    <t>S&amp;M as % of Revenue</t>
  </si>
  <si>
    <t>Customer acquisition investment</t>
  </si>
  <si>
    <t>R&amp;D (Product Dev) as % Rev</t>
  </si>
  <si>
    <t>Innovation investment intensity</t>
  </si>
  <si>
    <t>Capital intensity — tech should be low</t>
  </si>
  <si>
    <t>E.  CASH FLOW RATIOS</t>
  </si>
  <si>
    <t>OCF Margin</t>
  </si>
  <si>
    <t>OCF / Revenue — ability to convert revenue to cash</t>
  </si>
  <si>
    <t>FCF Margin</t>
  </si>
  <si>
    <t>FCF / Revenue — after capex</t>
  </si>
  <si>
    <t>Cash Conversion (OCF/EBITDA)</t>
  </si>
  <si>
    <t>Quality of earnings — how much EBITDA becomes cash</t>
  </si>
  <si>
    <t>OCF to Total Debt</t>
  </si>
  <si>
    <t>Debt repayment capacity from operations</t>
  </si>
  <si>
    <t>F.  TECH / PLATFORM-SPECIFIC KPIs</t>
  </si>
  <si>
    <t>Total GTV (Rp Juta)</t>
  </si>
  <si>
    <t>Gross transaction value through the platform</t>
  </si>
  <si>
    <t>Take Rate — Consolidated</t>
  </si>
  <si>
    <t>Revenue / GTV — monetization efficiency</t>
  </si>
  <si>
    <t>Revenue per Employee (Rp Juta)</t>
  </si>
  <si>
    <t>Productivity metric</t>
  </si>
  <si>
    <t>GTV Growth YoY</t>
  </si>
  <si>
    <t>Platform volume trajectory</t>
  </si>
  <si>
    <t>Segment</t>
  </si>
  <si>
    <t>Mix % FY2025</t>
  </si>
  <si>
    <t>NET REVENUE BY SEGMENT</t>
  </si>
  <si>
    <t>GOTO (GOTO.JK) — KPI Summary Dashboard</t>
  </si>
  <si>
    <t>Key Performance Indicators  |  Cross-linked from IS / BS / CF / SEGMENT sheets</t>
  </si>
  <si>
    <t>Trend</t>
  </si>
  <si>
    <t>Analyst Comment</t>
  </si>
  <si>
    <t>── SCALE &amp; GROWTH ──────────────</t>
  </si>
  <si>
    <t>── PROFITABILITY JOURNEY ───────</t>
  </si>
  <si>
    <t>── CASH &amp; LIQUIDITY ────────────</t>
  </si>
  <si>
    <t>── OPERATIONAL EFFICIENCY ──────</t>
  </si>
  <si>
    <t>── PER SHARE METRICS ───────────</t>
  </si>
  <si>
    <t>Loss per Share — Basic (Rp)</t>
  </si>
  <si>
    <t xml:space="preserve">  Payments to customers</t>
  </si>
  <si>
    <t xml:space="preserve">  Payments to suppliers</t>
  </si>
  <si>
    <t xml:space="preserve">  Users net-off</t>
  </si>
  <si>
    <t xml:space="preserve">  Addition of loans to third parties</t>
  </si>
  <si>
    <t xml:space="preserve">  Receipt from loans provided for thhird parties</t>
  </si>
  <si>
    <t xml:space="preserve">  Receipt of advance from sale of investment</t>
  </si>
  <si>
    <t xml:space="preserve">  Payment for acquisition of subsidiary, net</t>
  </si>
  <si>
    <t xml:space="preserve">  Addition of financial assets measured at fair value</t>
  </si>
  <si>
    <t xml:space="preserve">  Settlement of financial assets measured at fair value</t>
  </si>
  <si>
    <t xml:space="preserve">  Receipt of dividends from financial assets measured</t>
  </si>
  <si>
    <t xml:space="preserve">  Proceeds from sale of financial assets</t>
  </si>
  <si>
    <t xml:space="preserve">  Proceeds from return of capital on financial assets</t>
  </si>
  <si>
    <t xml:space="preserve">  Proceeds from disposal of interest in subsidiary</t>
  </si>
  <si>
    <t xml:space="preserve">  Proceeds from exercise of share-based comp.</t>
  </si>
  <si>
    <t xml:space="preserve">  Delivery Services</t>
  </si>
  <si>
    <t xml:space="preserve">  Service Fee</t>
  </si>
  <si>
    <t xml:space="preserve">  Lending</t>
  </si>
  <si>
    <t xml:space="preserve">  E-commerce Service Fee</t>
  </si>
  <si>
    <t xml:space="preserve">  Advertising Fee</t>
  </si>
  <si>
    <t xml:space="preserve">  Others</t>
  </si>
  <si>
    <t xml:space="preserve">  Total Revenue</t>
  </si>
  <si>
    <t>FY2023</t>
  </si>
  <si>
    <t>Δ 23-24 Rp Juta</t>
  </si>
  <si>
    <t>Δ 23-24 %</t>
  </si>
  <si>
    <t>Δ 24-25 Rp Juta</t>
  </si>
  <si>
    <t>Δ 24-25 %</t>
  </si>
  <si>
    <t xml:space="preserve">  Other Current Assets</t>
  </si>
  <si>
    <t xml:space="preserve">  Other Investments</t>
  </si>
  <si>
    <t xml:space="preserve">  Addition of loans to related parties</t>
  </si>
  <si>
    <t xml:space="preserve">  Proceeds from issuance of equity linked bonds</t>
  </si>
  <si>
    <t xml:space="preserve">  Payments of transaction cost on issuance of equity</t>
  </si>
  <si>
    <t>No</t>
  </si>
  <si>
    <t>Severity</t>
  </si>
  <si>
    <t>Follow-Ups</t>
  </si>
  <si>
    <t>High</t>
  </si>
  <si>
    <t>Medium</t>
  </si>
  <si>
    <t>Low</t>
  </si>
  <si>
    <t>YoY 23-24 Rp</t>
  </si>
  <si>
    <t>YoY 23-24 %</t>
  </si>
  <si>
    <t>Mix % FY2024</t>
  </si>
  <si>
    <t>YoY 24-25 Rp</t>
  </si>
  <si>
    <t>YoY 24-25 %</t>
  </si>
  <si>
    <t>Resolve</t>
  </si>
  <si>
    <t>FY2023A</t>
  </si>
  <si>
    <t>FY2024A</t>
  </si>
  <si>
    <t>Growth 23-24</t>
  </si>
  <si>
    <t>FY2025A</t>
  </si>
  <si>
    <t>Growth 24-25</t>
  </si>
  <si>
    <t>FY2026F Bear</t>
  </si>
  <si>
    <t>FY2026F Base</t>
  </si>
  <si>
    <t>FY2026F Bull</t>
  </si>
  <si>
    <t>Rationale</t>
  </si>
  <si>
    <t>B.  COST ASSUMPTIONS</t>
  </si>
  <si>
    <t xml:space="preserve">  Delivery Services Revenue</t>
  </si>
  <si>
    <t xml:space="preserve">  Service Fee Revenue</t>
  </si>
  <si>
    <t xml:space="preserve">  Lending Revenue</t>
  </si>
  <si>
    <t xml:space="preserve">  E-commerce Service Fee Revenue</t>
  </si>
  <si>
    <t xml:space="preserve">  Advertising Fee Revenue</t>
  </si>
  <si>
    <t xml:space="preserve">  Others Revenue</t>
  </si>
  <si>
    <t xml:space="preserve">     Product Development Expenses</t>
  </si>
  <si>
    <t>% Growth 23-24</t>
  </si>
  <si>
    <t>% Growth 24-25</t>
  </si>
  <si>
    <t>FY2026 Bear</t>
  </si>
  <si>
    <t>FY2026 Base</t>
  </si>
  <si>
    <t>FY2026 Bull</t>
  </si>
  <si>
    <t>C. OTHER INCOME/(EXPENSE) ASSUMPTIONS</t>
  </si>
  <si>
    <t xml:space="preserve">     Loss on Goodwill Impairment</t>
  </si>
  <si>
    <t>Flat</t>
  </si>
  <si>
    <t>Stabilizing/New Normal</t>
  </si>
  <si>
    <t>Notes</t>
  </si>
  <si>
    <t>Free Cash Flow (FCF)</t>
  </si>
  <si>
    <t>Estimated Capex</t>
  </si>
  <si>
    <t>── ADDITIONAL ──────────────────────</t>
  </si>
  <si>
    <t>Ratio OCF</t>
  </si>
  <si>
    <t>Loss pershare mengecil menunjukkan improvement GoTo</t>
  </si>
  <si>
    <t>GOTO (GOTO.JK) — Segment Review</t>
  </si>
  <si>
    <t>Lending revenue +95% YoY</t>
  </si>
  <si>
    <t>Lending receivables increased to IDR 3.1T, driving 95.4% YoY growth. Overall coverage ratio remained at 13.0%, while &gt;30-day overdue receivables were covered at 89.0%, indicating conservative provisioning despite rapid portfolio expansion. The overdue ratio increased from 7.8% to 10.2%, which remains manageable but should be monitored as lending scales.</t>
  </si>
  <si>
    <t>FY2023 earnings were significantly affected by a non-recurring goodwill impairment related to TOKO. The write-down reflected revised valuation assumptions following the tech sector downturn and changes in competitive outlook. This item is non-operating and should not affect normalized earnings analysis.</t>
  </si>
  <si>
    <t>The equity-method loss primarily reflects GoTo's 24.9% ownership in TOKO following deconsolidation. The reported loss represents GoTo's proportional share of TOKO's FY2024 net loss and is considered a one-off accounting impact rather than deterioration in GoTo's core operations.</t>
  </si>
  <si>
    <t>Time deposits decreased by 82.6% by FY2025 despite a strong cash balance of IDR 21.7T. The movement appears consistent with treasury optimization rather than liquidity constraints.</t>
  </si>
  <si>
    <t>Restricted cash was recognized beginning in FY2024 following a secured credit facility with Bank Mandiri. The balance represents pledged cash collateral and does not indicate operational cash usage.</t>
  </si>
  <si>
    <t>FY2023 non-recurring goodwill impairment (IDR 78.7B)</t>
  </si>
  <si>
    <t>One-off equity method loss from associates</t>
  </si>
  <si>
    <t>Time deposits declined 82.6%</t>
  </si>
  <si>
    <t>Restricted cash recognized</t>
  </si>
  <si>
    <t>Intangible assets down 82% after deconsolidation</t>
  </si>
  <si>
    <t>Increase in investment in associates after deconsolidation</t>
  </si>
  <si>
    <t>The decline was primarily driven by the deconsolidation of TOKO, resulting in derecognition of related intangible assets. This reflects a change in consolidation scope rather than asset impairment.</t>
  </si>
  <si>
    <t>The increase reflects the reclassification of GoTo's remaining investment in TOKO following deconsolidation. The accounting treatment is consistent with PSAK 228 and does not represent a new capital investment.</t>
  </si>
  <si>
    <t>Insights</t>
  </si>
  <si>
    <t>Flags</t>
  </si>
  <si>
    <t>Amount/Cell Ref</t>
  </si>
  <si>
    <t>Delivery Services is a relatively mature business with stable demand driven by the On-Demand ecosystem (primarily GoFood and GoSend). In the absence of major business catalysts, revenue growth is expected to normalize toward mid-single digits.</t>
  </si>
  <si>
    <r>
      <rPr>
        <b/>
        <sz val="10"/>
        <rFont val="Arial"/>
        <family val="2"/>
      </rPr>
      <t>Bear</t>
    </r>
    <r>
      <rPr>
        <sz val="10"/>
        <rFont val="Arial"/>
        <family val="2"/>
      </rPr>
      <t xml:space="preserve"> </t>
    </r>
    <r>
      <rPr>
        <b/>
        <sz val="10"/>
        <rFont val="Arial"/>
        <family val="2"/>
      </rPr>
      <t>+5%:</t>
    </r>
    <r>
      <rPr>
        <sz val="10"/>
        <rFont val="Arial"/>
        <family val="2"/>
      </rPr>
      <t xml:space="preserve"> Order growth slows due to weaker consumer demand.
</t>
    </r>
    <r>
      <rPr>
        <b/>
        <sz val="10"/>
        <rFont val="Arial"/>
        <family val="2"/>
      </rPr>
      <t>Base +7.5%</t>
    </r>
    <r>
      <rPr>
        <sz val="10"/>
        <rFont val="Arial"/>
        <family val="2"/>
      </rPr>
      <t xml:space="preserve">: Transaction volume grows broadly in line with FY2025 trends.
</t>
    </r>
    <r>
      <rPr>
        <b/>
        <sz val="10"/>
        <rFont val="Arial"/>
        <family val="2"/>
      </rPr>
      <t>Bull +9%</t>
    </r>
    <r>
      <rPr>
        <sz val="10"/>
        <rFont val="Arial"/>
        <family val="2"/>
      </rPr>
      <t>: Higher order volume supported by merchant expansion and new strategic partnerships.</t>
    </r>
  </si>
  <si>
    <r>
      <rPr>
        <b/>
        <sz val="10"/>
        <rFont val="Arial"/>
        <family val="2"/>
      </rPr>
      <t>Bear -3%</t>
    </r>
    <r>
      <rPr>
        <sz val="10"/>
        <rFont val="Arial"/>
        <family val="2"/>
      </rPr>
      <t xml:space="preserve">: Recovery following the structural transition is slower than expected. Soft GMV growth and continued monetization pressure result in a modest decline in service fee revenue.
</t>
    </r>
    <r>
      <rPr>
        <b/>
        <sz val="10"/>
        <rFont val="Arial"/>
        <family val="2"/>
      </rPr>
      <t>Base -1%</t>
    </r>
    <r>
      <rPr>
        <sz val="10"/>
        <rFont val="Arial"/>
        <family val="2"/>
      </rPr>
      <t xml:space="preserve">: The majority of the structural impact from the TikTok partnership has been absorbed in FY2025. FY2026 is expected to represent a stabilization period, with broadly stable GMV offset by a small residual impact on monetization.
</t>
    </r>
    <r>
      <rPr>
        <b/>
        <sz val="10"/>
        <rFont val="Arial"/>
        <family val="2"/>
      </rPr>
      <t>Bull +1%</t>
    </r>
    <r>
      <rPr>
        <sz val="10"/>
        <rFont val="Arial"/>
        <family val="2"/>
      </rPr>
      <t>: The structural transition is fully absorbed, allowing modest revenue growth supported by stable GMV and incremental improvements in monetization efficiency.</t>
    </r>
  </si>
  <si>
    <t>Service fee revenue primarily reflects platform take rates from merchants and driver partners. Following the TikTok partnership and changes in business structure, revenue is expected to stabilize with limited upside from structural monetization improvements.</t>
  </si>
  <si>
    <r>
      <rPr>
        <b/>
        <sz val="10"/>
        <rFont val="Arial"/>
        <family val="2"/>
      </rPr>
      <t>Bear +35%</t>
    </r>
    <r>
      <rPr>
        <sz val="10"/>
        <rFont val="Arial"/>
        <family val="2"/>
      </rPr>
      <t xml:space="preserve">: Loan growth moderates due to higher credit risk or tighter regulatory conditions.
</t>
    </r>
    <r>
      <rPr>
        <b/>
        <sz val="10"/>
        <rFont val="Arial"/>
        <family val="2"/>
      </rPr>
      <t>Base +50%</t>
    </r>
    <r>
      <rPr>
        <sz val="10"/>
        <rFont val="Arial"/>
        <family val="2"/>
      </rPr>
      <t xml:space="preserve">: Strong loan book expansion continues while maintaining current asset quality.
</t>
    </r>
    <r>
      <rPr>
        <b/>
        <sz val="10"/>
        <rFont val="Arial"/>
        <family val="2"/>
      </rPr>
      <t>Bull +75%</t>
    </r>
    <r>
      <rPr>
        <sz val="10"/>
        <rFont val="Arial"/>
        <family val="2"/>
      </rPr>
      <t>: Accelerated lending growth supported by continued portfolio expansion and stable credit performance.</t>
    </r>
  </si>
  <si>
    <t>Although FY2025 recorded exceptional growth, the high base effect is expected to moderate year-over-year growth. Nevertheless, Lending remains GoTo's fastest-growing business segment, with future performance primarily dependent on disciplined credit risk management and NPL stability.</t>
  </si>
  <si>
    <r>
      <rPr>
        <b/>
        <sz val="10"/>
        <rFont val="Arial"/>
        <family val="2"/>
      </rPr>
      <t>Bear +15%</t>
    </r>
    <r>
      <rPr>
        <sz val="10"/>
        <rFont val="Arial"/>
        <family val="2"/>
      </rPr>
      <t xml:space="preserve">: Tokopedia GMV growth moderates more than expected.
</t>
    </r>
    <r>
      <rPr>
        <b/>
        <sz val="10"/>
        <rFont val="Arial"/>
        <family val="2"/>
      </rPr>
      <t>Base +22%</t>
    </r>
    <r>
      <rPr>
        <sz val="10"/>
        <rFont val="Arial"/>
        <family val="2"/>
      </rPr>
      <t xml:space="preserve">: Positive GMV growth continues, albeit at a slower pace as the business matures.
</t>
    </r>
    <r>
      <rPr>
        <b/>
        <sz val="10"/>
        <rFont val="Arial"/>
        <family val="2"/>
      </rPr>
      <t>Bull +30%</t>
    </r>
    <r>
      <rPr>
        <sz val="10"/>
        <rFont val="Arial"/>
        <family val="2"/>
      </rPr>
      <t>: Stronger GMV expansion and higher transaction volume support revenue growth.</t>
    </r>
  </si>
  <si>
    <t>Revenue remains closely linked to Tokopedia's GMV performance. Following FY2025's high growth, normalization is expected as the platform reaches a more mature growth stage.</t>
  </si>
  <si>
    <r>
      <rPr>
        <b/>
        <sz val="10"/>
        <rFont val="Arial"/>
        <family val="2"/>
      </rPr>
      <t>Bear -5%</t>
    </r>
    <r>
      <rPr>
        <sz val="10"/>
        <rFont val="Arial"/>
        <family val="2"/>
      </rPr>
      <t xml:space="preserve">: Lower advertiser spending reduces advertising revenue.
</t>
    </r>
    <r>
      <rPr>
        <b/>
        <sz val="10"/>
        <rFont val="Arial"/>
        <family val="2"/>
      </rPr>
      <t>Base 0%</t>
    </r>
    <r>
      <rPr>
        <sz val="10"/>
        <rFont val="Arial"/>
        <family val="2"/>
      </rPr>
      <t xml:space="preserve">: Monetization remains broadly stable.
</t>
    </r>
    <r>
      <rPr>
        <b/>
        <sz val="10"/>
        <rFont val="Arial"/>
        <family val="2"/>
      </rPr>
      <t>Bull +5%</t>
    </r>
    <r>
      <rPr>
        <sz val="10"/>
        <rFont val="Arial"/>
        <family val="2"/>
      </rPr>
      <t>: Higher advertiser activity and improved CPM support revenue growth.</t>
    </r>
  </si>
  <si>
    <t>Advertising revenue is closely correlated with activity across the e-commerce and On-Demand ecosystems. Following Tokopedia's deconsolidation, advertising revenue is expected to remain broadly stable with limited structural growth.</t>
  </si>
  <si>
    <t>Other revenue is expected to grow at a moderate pace, broadly tracking the underlying growth of GoTo's core businesses while benefiting from selective new revenue initiatives.</t>
  </si>
  <si>
    <r>
      <rPr>
        <b/>
        <sz val="10"/>
        <rFont val="Arial"/>
        <family val="2"/>
      </rPr>
      <t>Bear +2%:</t>
    </r>
    <r>
      <rPr>
        <sz val="10"/>
        <rFont val="Arial"/>
        <family val="2"/>
      </rPr>
      <t xml:space="preserve"> Growth reflects a cautious macroeconomic environment.
</t>
    </r>
    <r>
      <rPr>
        <b/>
        <sz val="10"/>
        <rFont val="Arial"/>
        <family val="2"/>
      </rPr>
      <t>Base +5%:</t>
    </r>
    <r>
      <rPr>
        <sz val="10"/>
        <rFont val="Arial"/>
        <family val="2"/>
      </rPr>
      <t xml:space="preserve"> Revenue continues to grow in line with the FY2024–FY2025 average growth rate of approximately 5%.
</t>
    </r>
    <r>
      <rPr>
        <b/>
        <sz val="10"/>
        <rFont val="Arial"/>
        <family val="2"/>
      </rPr>
      <t>Bull +7%:</t>
    </r>
    <r>
      <rPr>
        <sz val="10"/>
        <rFont val="Arial"/>
        <family val="2"/>
      </rPr>
      <t xml:space="preserve"> Incremental contribution from new revenue initiatives supports stronger growth.</t>
    </r>
  </si>
  <si>
    <t>Scenario Assumptions</t>
  </si>
  <si>
    <r>
      <rPr>
        <b/>
        <sz val="10"/>
        <rFont val="Arial"/>
        <family val="2"/>
      </rPr>
      <t>Bear +5.5%:</t>
    </r>
    <r>
      <rPr>
        <sz val="10"/>
        <rFont val="Arial"/>
        <family val="2"/>
      </rPr>
      <t xml:space="preserve"> Higher service volumes increase variable costs, partially offset by operating leverage.
</t>
    </r>
    <r>
      <rPr>
        <b/>
        <sz val="10"/>
        <rFont val="Arial"/>
        <family val="2"/>
      </rPr>
      <t>Base +5.0%:</t>
    </r>
    <r>
      <rPr>
        <sz val="10"/>
        <rFont val="Arial"/>
        <family val="2"/>
      </rPr>
      <t xml:space="preserve"> Cost growth remains below revenue growth, reflecting continued efficiency improvements.
</t>
    </r>
    <r>
      <rPr>
        <b/>
        <sz val="10"/>
        <rFont val="Arial"/>
        <family val="2"/>
      </rPr>
      <t>Bull +4.5%:</t>
    </r>
    <r>
      <rPr>
        <sz val="10"/>
        <rFont val="Arial"/>
        <family val="2"/>
      </rPr>
      <t xml:space="preserve"> Strong operating leverage and process optimization limit cost inflation despite higher transaction volumes.</t>
    </r>
  </si>
  <si>
    <t>Cost of revenue is expected to increase primarily with transaction volume across the On-Demand and Financial Technology segments. Continued scale efficiencies and disciplined cost management are expected to keep cost growth below revenue growth, supporting further margin expansion.</t>
  </si>
  <si>
    <r>
      <rPr>
        <b/>
        <sz val="10"/>
        <rFont val="Arial"/>
        <family val="2"/>
      </rPr>
      <t>Bear +4.0%:</t>
    </r>
    <r>
      <rPr>
        <sz val="10"/>
        <rFont val="Arial"/>
        <family val="2"/>
      </rPr>
      <t xml:space="preserve"> Administrative costs normalize following prior restructuring, with inflationary pressure on corporate expenses.
</t>
    </r>
    <r>
      <rPr>
        <b/>
        <sz val="10"/>
        <rFont val="Arial"/>
        <family val="2"/>
      </rPr>
      <t>Base +2.0%:</t>
    </r>
    <r>
      <rPr>
        <sz val="10"/>
        <rFont val="Arial"/>
        <family val="2"/>
      </rPr>
      <t xml:space="preserve"> Ongoing cost discipline and limited headcount growth keep overhead increases modest.
</t>
    </r>
    <r>
      <rPr>
        <b/>
        <sz val="10"/>
        <rFont val="Arial"/>
        <family val="2"/>
      </rPr>
      <t>Bull +1.0%:</t>
    </r>
    <r>
      <rPr>
        <sz val="10"/>
        <rFont val="Arial"/>
        <family val="2"/>
      </rPr>
      <t xml:space="preserve"> Lean organizational structure and operating leverage largely offset inflationary pressures.</t>
    </r>
  </si>
  <si>
    <t>Following significant cost rationalization over the past two years, G&amp;A expenses are expected to remain well controlled. Future increases are primarily driven by inflation and normal corporate support requirements rather than organizational expansion.</t>
  </si>
  <si>
    <t>Marketing expenditure is expected to increase broadly in line with revenue growth as GoTo continues investing in customer acquisition and engagement. Incremental spending is expected to remain targeted toward higher-return growth segments, particularly Financial Technology.</t>
  </si>
  <si>
    <r>
      <rPr>
        <b/>
        <sz val="10"/>
        <rFont val="Arial"/>
        <family val="2"/>
      </rPr>
      <t>Bear +8.5%:</t>
    </r>
    <r>
      <rPr>
        <sz val="10"/>
        <rFont val="Arial"/>
        <family val="2"/>
      </rPr>
      <t xml:space="preserve"> Marketing investment remains disciplined, focusing on customer retention and efficient acquisition.
</t>
    </r>
    <r>
      <rPr>
        <b/>
        <sz val="10"/>
        <rFont val="Arial"/>
        <family val="2"/>
      </rPr>
      <t>Base +9.0%:</t>
    </r>
    <r>
      <rPr>
        <sz val="10"/>
        <rFont val="Arial"/>
        <family val="2"/>
      </rPr>
      <t xml:space="preserve"> Marketing spend increases to support sustainable revenue growth while maintaining acquisition efficiency.
</t>
    </r>
    <r>
      <rPr>
        <b/>
        <sz val="10"/>
        <rFont val="Arial"/>
        <family val="2"/>
      </rPr>
      <t>Bull +10.0%:</t>
    </r>
    <r>
      <rPr>
        <sz val="10"/>
        <rFont val="Arial"/>
        <family val="2"/>
      </rPr>
      <t xml:space="preserve"> Higher investment in targeted campaigns, particularly for the Lending segment and strategic growth initiatives.</t>
    </r>
  </si>
  <si>
    <r>
      <rPr>
        <b/>
        <sz val="10"/>
        <rFont val="Arial"/>
        <family val="2"/>
      </rPr>
      <t>Bear +12.0%:</t>
    </r>
    <r>
      <rPr>
        <sz val="10"/>
        <rFont val="Arial"/>
        <family val="2"/>
      </rPr>
      <t xml:space="preserve"> Product investment is moderated to prioritize profitability and cash generation.
</t>
    </r>
    <r>
      <rPr>
        <b/>
        <sz val="10"/>
        <rFont val="Arial"/>
        <family val="2"/>
      </rPr>
      <t xml:space="preserve">Base +16.0%: </t>
    </r>
    <r>
      <rPr>
        <sz val="10"/>
        <rFont val="Arial"/>
        <family val="2"/>
      </rPr>
      <t xml:space="preserve">Continued investment in platform capabilities, product enhancement, and technology infrastructure.
</t>
    </r>
    <r>
      <rPr>
        <b/>
        <sz val="10"/>
        <rFont val="Arial"/>
        <family val="2"/>
      </rPr>
      <t>Bull +25.0%:</t>
    </r>
    <r>
      <rPr>
        <sz val="10"/>
        <rFont val="Arial"/>
        <family val="2"/>
      </rPr>
      <t xml:space="preserve"> Accelerated investment supports new product development, platform scalability, and long-term growth initiatives.</t>
    </r>
  </si>
  <si>
    <t>Product development remains a strategic investment area supporting platform competitiveness, ecosystem integration, and Financial Technology expansion. The pace of investment will depend on management's balance between profitability objectives and long-term innovation.</t>
  </si>
  <si>
    <r>
      <rPr>
        <b/>
        <sz val="10"/>
        <rFont val="Arial"/>
        <family val="2"/>
      </rPr>
      <t>Bear +2.0%:</t>
    </r>
    <r>
      <rPr>
        <sz val="10"/>
        <rFont val="Arial"/>
        <family val="2"/>
      </rPr>
      <t xml:space="preserve"> Higher operating activity results in modest increases in support costs.
</t>
    </r>
    <r>
      <rPr>
        <b/>
        <sz val="10"/>
        <rFont val="Arial"/>
        <family val="2"/>
      </rPr>
      <t>Base +1.0%:</t>
    </r>
    <r>
      <rPr>
        <sz val="10"/>
        <rFont val="Arial"/>
        <family val="2"/>
      </rPr>
      <t xml:space="preserve"> Expenses increase broadly in line with inflation while operational efficiencies are maintained.
</t>
    </r>
    <r>
      <rPr>
        <b/>
        <sz val="10"/>
        <rFont val="Arial"/>
        <family val="2"/>
      </rPr>
      <t xml:space="preserve">Bull +0.1%: </t>
    </r>
    <r>
      <rPr>
        <sz val="10"/>
        <rFont val="Arial"/>
        <family val="2"/>
      </rPr>
      <t>Continued efficiency initiatives largely offset higher business activity, keeping support costs broadly flat.</t>
    </r>
  </si>
  <si>
    <t>Operational support expenses are expected to remain stable due to ongoing efficiency initiatives. Incremental increases are primarily attributable to inflation and higher business volumes rather than structural cost expansion.</t>
  </si>
  <si>
    <t>Depreciation and amortization are assumed to remain broadly unchanged as the existing asset base is largely stable and no material capital expenditure or acquisition activity is incorporated into the FY2026 forecast.</t>
  </si>
  <si>
    <r>
      <rPr>
        <b/>
        <sz val="10"/>
        <rFont val="Arial"/>
        <family val="2"/>
      </rPr>
      <t>Bear 0%</t>
    </r>
    <r>
      <rPr>
        <sz val="10"/>
        <rFont val="Arial"/>
        <family val="2"/>
      </rPr>
      <t xml:space="preserve">: Associate performance remains weak.
</t>
    </r>
    <r>
      <rPr>
        <b/>
        <sz val="10"/>
        <rFont val="Arial"/>
        <family val="2"/>
      </rPr>
      <t>Base +10%:</t>
    </r>
    <r>
      <rPr>
        <sz val="10"/>
        <rFont val="Arial"/>
        <family val="2"/>
      </rPr>
      <t xml:space="preserve"> Tokopedia's earnings gradually stabilize.
</t>
    </r>
    <r>
      <rPr>
        <b/>
        <sz val="10"/>
        <rFont val="Arial"/>
        <family val="2"/>
      </rPr>
      <t>Bull +20%:</t>
    </r>
    <r>
      <rPr>
        <sz val="10"/>
        <rFont val="Arial"/>
        <family val="2"/>
      </rPr>
      <t xml:space="preserve"> Stronger profitability at Tokopedia contributes higher equity earnings.</t>
    </r>
  </si>
  <si>
    <t>Finance income is primarily driven by cash balances and prevailing interest rates. Moderate growth is expected given GoTo's strong liquidity position.</t>
  </si>
  <si>
    <r>
      <t>Bear 0%:</t>
    </r>
    <r>
      <rPr>
        <sz val="10"/>
        <rFont val="Arial"/>
        <family val="2"/>
      </rPr>
      <t xml:space="preserve"> Interest income remains flat as cash balances decline or interest rates soften.</t>
    </r>
    <r>
      <rPr>
        <b/>
        <sz val="10"/>
        <rFont val="Arial"/>
        <family val="2"/>
      </rPr>
      <t xml:space="preserve">
Base +5%: </t>
    </r>
    <r>
      <rPr>
        <sz val="10"/>
        <rFont val="Arial"/>
        <family val="2"/>
      </rPr>
      <t xml:space="preserve">Strong cash balances continue to generate moderate interest income.
</t>
    </r>
    <r>
      <rPr>
        <b/>
        <sz val="10"/>
        <rFont val="Arial"/>
        <family val="2"/>
      </rPr>
      <t xml:space="preserve">Bull +10%: </t>
    </r>
    <r>
      <rPr>
        <sz val="10"/>
        <rFont val="Arial"/>
        <family val="2"/>
      </rPr>
      <t>Higher interest rates and effective treasury management support stronger finance income.</t>
    </r>
  </si>
  <si>
    <r>
      <t xml:space="preserve">Bear +8%: </t>
    </r>
    <r>
      <rPr>
        <sz val="10"/>
        <rFont val="Arial"/>
        <family val="2"/>
      </rPr>
      <t>Higher borrowing costs or additional financing requirements increase interest expense.</t>
    </r>
    <r>
      <rPr>
        <b/>
        <sz val="10"/>
        <rFont val="Arial"/>
        <family val="2"/>
      </rPr>
      <t xml:space="preserve">
Base +5%:</t>
    </r>
    <r>
      <rPr>
        <sz val="10"/>
        <rFont val="Arial"/>
        <family val="2"/>
      </rPr>
      <t xml:space="preserve"> Debt levels remain broadly stable with no significant refinancing activity.</t>
    </r>
    <r>
      <rPr>
        <b/>
        <sz val="10"/>
        <rFont val="Arial"/>
        <family val="2"/>
      </rPr>
      <t xml:space="preserve">
Bull +2%: </t>
    </r>
    <r>
      <rPr>
        <sz val="10"/>
        <rFont val="Arial"/>
        <family val="2"/>
      </rPr>
      <t>Improved funding costs or lower debt utilization limit interest expense growth.</t>
    </r>
  </si>
  <si>
    <t>Finance costs are expected to remain relatively stable, with movements primarily dependent on financing activities and interest rate conditions.</t>
  </si>
  <si>
    <t>Equity income depends primarily on Tokopedia's financial performance and GoTo's ownership interest. Gradual earnings recovery is assumed under the base case.</t>
  </si>
  <si>
    <r>
      <rPr>
        <b/>
        <sz val="10"/>
        <rFont val="Arial"/>
        <family val="2"/>
      </rPr>
      <t>Bear 0%:</t>
    </r>
    <r>
      <rPr>
        <sz val="10"/>
        <rFont val="Arial"/>
        <family val="2"/>
      </rPr>
      <t xml:space="preserve"> No significant change.
</t>
    </r>
    <r>
      <rPr>
        <b/>
        <sz val="10"/>
        <rFont val="Arial"/>
        <family val="2"/>
      </rPr>
      <t>Base +5%:</t>
    </r>
    <r>
      <rPr>
        <sz val="10"/>
        <rFont val="Arial"/>
        <family val="2"/>
      </rPr>
      <t xml:space="preserve"> Other income and expenses remain broadly stable.
</t>
    </r>
    <r>
      <rPr>
        <b/>
        <sz val="10"/>
        <rFont val="Arial"/>
        <family val="2"/>
      </rPr>
      <t>Bull +10%:</t>
    </r>
    <r>
      <rPr>
        <sz val="10"/>
        <rFont val="Arial"/>
        <family val="2"/>
      </rPr>
      <t xml:space="preserve"> Slight improvement from miscellaneous non-operating items.</t>
    </r>
  </si>
  <si>
    <t>Other non-operating items are assumed to remain broadly consistent with historical levels due to their limited predictability.</t>
  </si>
  <si>
    <t>Bear/Base/Bull 0%: No forecast adjustment.</t>
  </si>
  <si>
    <t>Bear/Base/Bull 0%: No impairment assumed.</t>
  </si>
  <si>
    <t>The Company continues to have accumulated tax loss carryforwards; therefore, cash tax expense is expected to remain minimal.</t>
  </si>
  <si>
    <t>Revenue growth remained resilient following the Tokopedia deconsolidation, indicating that GoTo's core businesses continue to generate sustainable top-line growth.</t>
  </si>
  <si>
    <t>Operating losses narrowed significantly, bringing the Company closer to operating break-even as profitability initiatives continue to gain traction.</t>
  </si>
  <si>
    <t>Net loss decreased by 72.5% YoY, primarily driven by the normalization of non-recurring items recognized during FY2023–FY2024 and improved operating performance.</t>
  </si>
  <si>
    <t>Source: Note 25 &amp; Segment Information  |  Rp Juta (IDR Millions)</t>
  </si>
  <si>
    <t>Net Revenue (Rp Millions)</t>
  </si>
  <si>
    <t>Gross Profit (Rp Millions)</t>
  </si>
  <si>
    <t>Operating Loss (Rp Millions)</t>
  </si>
  <si>
    <t>Net Loss (Rp Millions)</t>
  </si>
  <si>
    <t>Cash &amp; Equivalents (Rp Millions)</t>
  </si>
  <si>
    <t>OCF (Rp Millions)</t>
  </si>
  <si>
    <t>FCF (Rp Millions)</t>
  </si>
  <si>
    <t>GoTo maintains a strong liquidity position, providing sufficient financial flexibility to support ongoing operations and strategic investments.</t>
  </si>
  <si>
    <t>FY2025 marked the Company's first year of positive operating cash flow, representing an important milestone in its path toward sustainable profitability.</t>
  </si>
  <si>
    <t>Free cash flow remained negative due to continued investment in platform development and long-term growth initiatives, although cash outflows improved substantially year over year.</t>
  </si>
  <si>
    <t>Gross profit expansion reflects stronger revenue growth combined with continued expansion in cost margin and operating leverage.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</si>
</sst>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0.0%\);\-"/>
    <numFmt numFmtId="166" formatCode="0.0\x"/>
    <numFmt numFmtId="167" formatCode="#,##0.0;\(#,##0.0\);\-"/>
    <numFmt numFmtId="168" formatCode="_(* #,##0_);_(* \(#,##0\);_(* &quot;-&quot;??_);_(@_)"/>
    <numFmt numFmtId="169" formatCode="0.0%"/>
  </numFmts>
  <fonts count="37" x14ac:knownFonts="1">
    <font>
      <sz val="11"/>
      <color theme="1"/>
      <name val="Calibri"/>
      <family val="2"/>
      <charset val="1"/>
    </font>
    <font>
      <b/>
      <sz val="14"/>
      <color rgb="FFFFFFFF"/>
      <name val="Arial"/>
      <charset val="1"/>
    </font>
    <font>
      <i/>
      <sz val="10"/>
      <color rgb="FFFFFFFF"/>
      <name val="Arial"/>
      <charset val="1"/>
    </font>
    <font>
      <b/>
      <sz val="10"/>
      <color rgb="FFFFFFFF"/>
      <name val="Arial"/>
      <charset val="1"/>
    </font>
    <font>
      <b/>
      <sz val="10"/>
      <color rgb="FF000000"/>
      <name val="Arial"/>
      <charset val="1"/>
    </font>
    <font>
      <sz val="10"/>
      <color rgb="FF000000"/>
      <name val="Arial"/>
      <charset val="1"/>
    </font>
    <font>
      <b/>
      <sz val="10"/>
      <color rgb="FF0000FF"/>
      <name val="Arial"/>
      <charset val="1"/>
    </font>
    <font>
      <b/>
      <sz val="10"/>
      <color rgb="FF008000"/>
      <name val="Arial"/>
      <charset val="1"/>
    </font>
    <font>
      <b/>
      <sz val="10"/>
      <color rgb="FFFF0000"/>
      <name val="Arial"/>
      <charset val="1"/>
    </font>
    <font>
      <i/>
      <sz val="9"/>
      <color rgb="FF595959"/>
      <name val="Arial"/>
      <charset val="1"/>
    </font>
    <font>
      <b/>
      <sz val="12"/>
      <color rgb="FFFFFFFF"/>
      <name val="Arial"/>
      <charset val="1"/>
    </font>
    <font>
      <b/>
      <sz val="9"/>
      <color rgb="FFFFFFFF"/>
      <name val="Arial"/>
      <charset val="1"/>
    </font>
    <font>
      <sz val="10"/>
      <color rgb="FF0000FF"/>
      <name val="Arial"/>
      <charset val="1"/>
    </font>
    <font>
      <i/>
      <sz val="9"/>
      <color rgb="FFFFFFFF"/>
      <name val="Arial"/>
      <charset val="1"/>
    </font>
    <font>
      <sz val="8"/>
      <color rgb="FF595959"/>
      <name val="Arial"/>
      <charset val="1"/>
    </font>
    <font>
      <b/>
      <i/>
      <sz val="9"/>
      <color rgb="FF2C4F8A"/>
      <name val="Arial"/>
      <charset val="1"/>
    </font>
    <font>
      <sz val="10"/>
      <color rgb="FF008000"/>
      <name val="Arial"/>
      <charset val="1"/>
    </font>
    <font>
      <sz val="10"/>
      <color theme="1"/>
      <name val="Arial"/>
      <family val="2"/>
    </font>
    <font>
      <sz val="11"/>
      <color theme="1"/>
      <name val="Calibri"/>
      <family val="2"/>
      <charset val="1"/>
    </font>
    <font>
      <b/>
      <sz val="9"/>
      <color rgb="FFFFFFFF"/>
      <name val="Arial"/>
      <family val="2"/>
    </font>
    <font>
      <sz val="10"/>
      <color rgb="FF000000"/>
      <name val="Arial"/>
      <family val="2"/>
    </font>
    <font>
      <b/>
      <sz val="10"/>
      <color rgb="FF000000"/>
      <name val="Arial"/>
      <family val="2"/>
    </font>
    <font>
      <sz val="10"/>
      <color rgb="FF008000"/>
      <name val="Arial"/>
      <family val="2"/>
    </font>
    <font>
      <sz val="9"/>
      <color indexed="81"/>
      <name val="Tahoma"/>
      <family val="2"/>
    </font>
    <font>
      <b/>
      <sz val="9"/>
      <color indexed="81"/>
      <name val="Tahoma"/>
      <family val="2"/>
    </font>
    <font>
      <b/>
      <sz val="12"/>
      <color rgb="FFFFFFFF"/>
      <name val="Arial"/>
      <family val="2"/>
    </font>
    <font>
      <sz val="10"/>
      <color rgb="FF00B050"/>
      <name val="Arial"/>
      <family val="2"/>
    </font>
    <font>
      <sz val="10"/>
      <name val="Arial"/>
      <family val="2"/>
    </font>
    <font>
      <i/>
      <sz val="9"/>
      <color rgb="FF595959"/>
      <name val="Arial"/>
      <family val="2"/>
    </font>
    <font>
      <i/>
      <sz val="9"/>
      <name val="Arial"/>
      <family val="2"/>
    </font>
    <font>
      <sz val="10"/>
      <color rgb="FF0000FF"/>
      <name val="Arial"/>
      <family val="2"/>
    </font>
    <font>
      <b/>
      <i/>
      <sz val="9"/>
      <color rgb="FF2C4F8A"/>
      <name val="Arial"/>
      <family val="2"/>
    </font>
    <font>
      <sz val="9"/>
      <color rgb="FF00B050"/>
      <name val="Arial"/>
      <family val="2"/>
    </font>
    <font>
      <sz val="9"/>
      <color theme="1"/>
      <name val="Arial"/>
      <family val="2"/>
    </font>
    <font>
      <b/>
      <sz val="11"/>
      <color theme="1"/>
      <name val="Calibri"/>
      <family val="2"/>
      <charset val="1"/>
    </font>
    <font>
      <b/>
      <sz val="10"/>
      <name val="Arial"/>
      <family val="2"/>
    </font>
    <font>
      <i/>
      <sz val="9"/>
      <color rgb="FFFFFFFF"/>
      <name val="Arial"/>
      <family val="2"/>
    </font>
  </fonts>
  <fills count="15">
    <fill>
      <patternFill patternType="none"/>
    </fill>
    <fill>
      <patternFill patternType="gray125"/>
    </fill>
    <fill>
      <patternFill patternType="solid">
        <fgColor rgb="FF1B3A6B"/>
        <bgColor rgb="FF2C4F8A"/>
      </patternFill>
    </fill>
    <fill>
      <patternFill patternType="solid">
        <fgColor rgb="FF2C4F8A"/>
        <bgColor rgb="FF1B3A6B"/>
      </patternFill>
    </fill>
    <fill>
      <patternFill patternType="solid">
        <fgColor rgb="FFC9A84C"/>
        <bgColor rgb="FFED7D31"/>
      </patternFill>
    </fill>
    <fill>
      <patternFill patternType="solid">
        <fgColor rgb="FFFFFFFF"/>
        <bgColor rgb="FFF5F5F5"/>
      </patternFill>
    </fill>
    <fill>
      <patternFill patternType="solid">
        <fgColor rgb="FFF5F5F5"/>
        <bgColor rgb="FFFFFFFF"/>
      </patternFill>
    </fill>
    <fill>
      <patternFill patternType="solid">
        <fgColor rgb="FFFFFF00"/>
        <bgColor rgb="FFFFFF00"/>
      </patternFill>
    </fill>
    <fill>
      <patternFill patternType="solid">
        <fgColor rgb="FFD6E4F7"/>
        <bgColor rgb="FFF5F5F5"/>
      </patternFill>
    </fill>
    <fill>
      <patternFill patternType="solid">
        <fgColor theme="0" tint="-4.9989318521683403E-2"/>
        <bgColor rgb="FFF5F5F5"/>
      </patternFill>
    </fill>
    <fill>
      <patternFill patternType="solid">
        <fgColor rgb="FFFFFFC0"/>
        <bgColor rgb="FFF5F5F5"/>
      </patternFill>
    </fill>
    <fill>
      <patternFill patternType="solid">
        <fgColor rgb="FFFFFFC0"/>
        <bgColor rgb="FFFFFFFF"/>
      </patternFill>
    </fill>
    <fill>
      <patternFill patternType="solid">
        <fgColor theme="0"/>
        <bgColor indexed="64"/>
      </patternFill>
    </fill>
    <fill>
      <patternFill patternType="solid">
        <fgColor theme="0" tint="-4.9989318521683403E-2"/>
        <bgColor rgb="FFFFFFFF"/>
      </patternFill>
    </fill>
    <fill>
      <patternFill patternType="solid">
        <fgColor theme="0"/>
        <bgColor rgb="FFF5F5F5"/>
      </patternFill>
    </fill>
  </fills>
  <borders count="12">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theme="0" tint="-0.249977111117893"/>
      </top>
      <bottom style="thin">
        <color rgb="FFBFBFBF"/>
      </bottom>
      <diagonal/>
    </border>
    <border>
      <left/>
      <right/>
      <top style="thin">
        <color theme="0" tint="-0.249977111117893"/>
      </top>
      <bottom style="thin">
        <color theme="0" tint="-0.249977111117893"/>
      </bottom>
      <diagonal/>
    </border>
    <border>
      <left/>
      <right/>
      <top style="thin">
        <color rgb="FFBFBFBF"/>
      </top>
      <bottom style="thin">
        <color theme="0" tint="-0.249977111117893"/>
      </bottom>
      <diagonal/>
    </border>
    <border>
      <left/>
      <right/>
      <top style="thin">
        <color rgb="FFBFBFBF"/>
      </top>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theme="0" tint="-0.249977111117893"/>
      </bottom>
      <diagonal/>
    </border>
    <border>
      <left/>
      <right/>
      <top style="thin">
        <color rgb="FFBFBFBF"/>
      </top>
      <bottom style="thin">
        <color rgb="FFBFBFBF"/>
      </bottom>
      <diagonal/>
    </border>
    <border>
      <left/>
      <right/>
      <top style="thin">
        <color theme="0" tint="-0.249977111117893"/>
      </top>
      <bottom/>
      <diagonal/>
    </border>
  </borders>
  <cellStyleXfs count="3">
    <xf numFmtId="0" fontId="0" fillId="0" borderId="0"/>
    <xf numFmtId="43" fontId="18" fillId="0" borderId="0" applyFont="0" applyFill="0" applyBorder="0" applyAlignment="0" applyProtection="0"/>
    <xf numFmtId="9" fontId="18" fillId="0" borderId="0" applyFont="0" applyFill="0" applyBorder="0" applyAlignment="0" applyProtection="0"/>
  </cellStyleXfs>
  <cellXfs count="219">
    <xf numFmtId="0" fontId="0" fillId="0" borderId="0" xfId="0"/>
    <xf numFmtId="0" fontId="0" fillId="0" borderId="0" xfId="0" applyAlignment="1"/>
    <xf numFmtId="0" fontId="0" fillId="4" borderId="0" xfId="0" applyFill="1" applyAlignment="1"/>
    <xf numFmtId="0" fontId="3" fillId="3" borderId="0" xfId="0" applyFont="1" applyFill="1" applyAlignment="1">
      <alignment horizontal="left" vertical="center" indent="1"/>
    </xf>
    <xf numFmtId="0" fontId="3" fillId="3" borderId="0" xfId="0" applyFont="1" applyFill="1" applyAlignment="1">
      <alignment horizontal="center" vertical="center" wrapText="1"/>
    </xf>
    <xf numFmtId="0" fontId="4" fillId="5" borderId="1" xfId="0" applyFont="1" applyFill="1" applyBorder="1" applyAlignment="1">
      <alignment horizontal="left" vertical="center" indent="1"/>
    </xf>
    <xf numFmtId="0" fontId="5" fillId="5" borderId="1" xfId="0" applyFont="1" applyFill="1" applyBorder="1" applyAlignment="1">
      <alignment horizontal="left" vertical="center" indent="1"/>
    </xf>
    <xf numFmtId="0" fontId="4" fillId="5" borderId="1" xfId="0" applyFont="1" applyFill="1" applyBorder="1" applyAlignment="1">
      <alignment horizontal="center" vertical="center" wrapText="1"/>
    </xf>
    <xf numFmtId="0" fontId="5" fillId="6" borderId="1" xfId="0" applyFont="1" applyFill="1" applyBorder="1" applyAlignment="1">
      <alignment horizontal="left" vertical="center" indent="1"/>
    </xf>
    <xf numFmtId="0" fontId="6"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6" fillId="5" borderId="0" xfId="0" applyFont="1" applyFill="1" applyAlignment="1">
      <alignment horizontal="left" vertical="center" indent="1"/>
    </xf>
    <xf numFmtId="0" fontId="7" fillId="5" borderId="0" xfId="0" applyFont="1" applyFill="1" applyAlignment="1">
      <alignment horizontal="left" vertical="center" indent="1"/>
    </xf>
    <xf numFmtId="0" fontId="8" fillId="5" borderId="0" xfId="0" applyFont="1" applyFill="1" applyAlignment="1">
      <alignment horizontal="left" vertical="center" indent="1"/>
    </xf>
    <xf numFmtId="0" fontId="4" fillId="5" borderId="0" xfId="0" applyFont="1" applyFill="1" applyAlignment="1">
      <alignment horizontal="left" vertical="center" indent="1"/>
    </xf>
    <xf numFmtId="0" fontId="4" fillId="7" borderId="0" xfId="0" applyFont="1" applyFill="1" applyAlignment="1">
      <alignment horizontal="left" vertical="center" indent="1"/>
    </xf>
    <xf numFmtId="0" fontId="11" fillId="2" borderId="2" xfId="0" applyFont="1" applyFill="1" applyBorder="1" applyAlignment="1">
      <alignment horizontal="center" vertical="center" wrapText="1"/>
    </xf>
    <xf numFmtId="164" fontId="12" fillId="6" borderId="1" xfId="0" applyNumberFormat="1" applyFont="1" applyFill="1" applyBorder="1" applyAlignment="1">
      <alignment horizontal="right" vertical="center"/>
    </xf>
    <xf numFmtId="0" fontId="9" fillId="6" borderId="1" xfId="0" applyFont="1" applyFill="1" applyBorder="1" applyAlignment="1">
      <alignment horizontal="left" vertical="center" indent="1"/>
    </xf>
    <xf numFmtId="0" fontId="5" fillId="5" borderId="1" xfId="0" applyFont="1" applyFill="1" applyBorder="1" applyAlignment="1">
      <alignment horizontal="left" vertical="center" indent="2"/>
    </xf>
    <xf numFmtId="164" fontId="12" fillId="5" borderId="1" xfId="0" applyNumberFormat="1" applyFont="1" applyFill="1" applyBorder="1" applyAlignment="1">
      <alignment horizontal="right" vertical="center"/>
    </xf>
    <xf numFmtId="0" fontId="9" fillId="5" borderId="1" xfId="0" applyFont="1" applyFill="1" applyBorder="1" applyAlignment="1">
      <alignment horizontal="left" vertical="center" indent="1"/>
    </xf>
    <xf numFmtId="0" fontId="5" fillId="6" borderId="1" xfId="0" applyFont="1" applyFill="1" applyBorder="1" applyAlignment="1">
      <alignment horizontal="left" vertical="center" indent="2"/>
    </xf>
    <xf numFmtId="0" fontId="4" fillId="8" borderId="1" xfId="0" applyFont="1" applyFill="1" applyBorder="1" applyAlignment="1">
      <alignment horizontal="left" vertical="center" indent="1"/>
    </xf>
    <xf numFmtId="0" fontId="14" fillId="8" borderId="1" xfId="0" applyFont="1" applyFill="1" applyBorder="1" applyAlignment="1">
      <alignment horizontal="center" vertical="center" wrapText="1"/>
    </xf>
    <xf numFmtId="164" fontId="5" fillId="8" borderId="1" xfId="0" applyNumberFormat="1" applyFont="1" applyFill="1" applyBorder="1" applyAlignment="1">
      <alignment horizontal="right" vertical="center"/>
    </xf>
    <xf numFmtId="165" fontId="5" fillId="8" borderId="1" xfId="0" applyNumberFormat="1" applyFont="1" applyFill="1" applyBorder="1" applyAlignment="1">
      <alignment horizontal="right" vertical="center"/>
    </xf>
    <xf numFmtId="0" fontId="14" fillId="5" borderId="1" xfId="0" applyFont="1" applyFill="1" applyBorder="1" applyAlignment="1">
      <alignment horizontal="center" vertical="center" wrapText="1"/>
    </xf>
    <xf numFmtId="164"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0" fontId="14" fillId="6" borderId="1" xfId="0" applyFont="1" applyFill="1" applyBorder="1" applyAlignment="1">
      <alignment horizontal="center" vertical="center" wrapText="1"/>
    </xf>
    <xf numFmtId="164" fontId="5" fillId="6" borderId="1" xfId="0" applyNumberFormat="1" applyFont="1" applyFill="1" applyBorder="1" applyAlignment="1">
      <alignment horizontal="right" vertical="center"/>
    </xf>
    <xf numFmtId="165" fontId="5" fillId="6" borderId="1" xfId="0" applyNumberFormat="1" applyFont="1" applyFill="1" applyBorder="1" applyAlignment="1">
      <alignment horizontal="right" vertical="center"/>
    </xf>
    <xf numFmtId="165" fontId="16" fillId="5" borderId="1" xfId="0" applyNumberFormat="1" applyFont="1" applyFill="1" applyBorder="1" applyAlignment="1">
      <alignment horizontal="right" vertical="center"/>
    </xf>
    <xf numFmtId="165" fontId="16" fillId="6" borderId="1" xfId="0" applyNumberFormat="1" applyFont="1" applyFill="1" applyBorder="1" applyAlignment="1">
      <alignment horizontal="right" vertical="center"/>
    </xf>
    <xf numFmtId="166" fontId="16" fillId="6" borderId="1" xfId="0" applyNumberFormat="1" applyFont="1" applyFill="1" applyBorder="1" applyAlignment="1">
      <alignment horizontal="right" vertical="center"/>
    </xf>
    <xf numFmtId="166" fontId="5" fillId="6" borderId="1" xfId="0" applyNumberFormat="1" applyFont="1" applyFill="1" applyBorder="1" applyAlignment="1">
      <alignment horizontal="right" vertical="center"/>
    </xf>
    <xf numFmtId="166" fontId="16" fillId="5"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164" fontId="16" fillId="5" borderId="1" xfId="0" applyNumberFormat="1" applyFont="1" applyFill="1" applyBorder="1" applyAlignment="1">
      <alignment horizontal="right" vertical="center"/>
    </xf>
    <xf numFmtId="164" fontId="16" fillId="6" borderId="1" xfId="0" applyNumberFormat="1" applyFont="1" applyFill="1" applyBorder="1" applyAlignment="1">
      <alignment horizontal="right" vertical="center"/>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5" borderId="0" xfId="0" applyFont="1" applyFill="1" applyBorder="1" applyAlignment="1">
      <alignment horizontal="left" vertical="center" indent="2"/>
    </xf>
    <xf numFmtId="164" fontId="12" fillId="5" borderId="0" xfId="0" applyNumberFormat="1" applyFont="1" applyFill="1" applyBorder="1" applyAlignment="1">
      <alignment horizontal="right" vertical="center"/>
    </xf>
    <xf numFmtId="164" fontId="5" fillId="5" borderId="0" xfId="0" applyNumberFormat="1" applyFont="1" applyFill="1" applyBorder="1" applyAlignment="1">
      <alignment horizontal="right" vertical="center"/>
    </xf>
    <xf numFmtId="165" fontId="5" fillId="5" borderId="0" xfId="0" applyNumberFormat="1" applyFont="1" applyFill="1" applyBorder="1" applyAlignment="1">
      <alignment horizontal="right" vertical="center"/>
    </xf>
    <xf numFmtId="164" fontId="17" fillId="5" borderId="1" xfId="0" applyNumberFormat="1" applyFont="1" applyFill="1" applyBorder="1" applyAlignment="1">
      <alignment horizontal="right" vertical="center"/>
    </xf>
    <xf numFmtId="164" fontId="17" fillId="6" borderId="1" xfId="0" applyNumberFormat="1" applyFont="1" applyFill="1" applyBorder="1" applyAlignment="1">
      <alignment horizontal="right" vertical="center"/>
    </xf>
    <xf numFmtId="164" fontId="17" fillId="8" borderId="1" xfId="0" applyNumberFormat="1" applyFont="1" applyFill="1" applyBorder="1" applyAlignment="1">
      <alignment horizontal="right" vertical="center"/>
    </xf>
    <xf numFmtId="0" fontId="19" fillId="2" borderId="2" xfId="0" applyFont="1" applyFill="1" applyBorder="1" applyAlignment="1">
      <alignment horizontal="center" vertical="center" wrapText="1"/>
    </xf>
    <xf numFmtId="0" fontId="20" fillId="6" borderId="1" xfId="0" applyFont="1" applyFill="1" applyBorder="1" applyAlignment="1">
      <alignment horizontal="left" vertical="center" indent="2"/>
    </xf>
    <xf numFmtId="0" fontId="20" fillId="5" borderId="1" xfId="0" applyFont="1" applyFill="1" applyBorder="1" applyAlignment="1">
      <alignment horizontal="left" vertical="center" indent="2"/>
    </xf>
    <xf numFmtId="165" fontId="17" fillId="5" borderId="1" xfId="0" applyNumberFormat="1" applyFont="1" applyFill="1" applyBorder="1" applyAlignment="1">
      <alignment horizontal="right" vertical="center"/>
    </xf>
    <xf numFmtId="165" fontId="17" fillId="6" borderId="1" xfId="0" applyNumberFormat="1" applyFont="1" applyFill="1" applyBorder="1" applyAlignment="1">
      <alignment horizontal="right" vertical="center"/>
    </xf>
    <xf numFmtId="165" fontId="17" fillId="8" borderId="1" xfId="0" applyNumberFormat="1" applyFont="1" applyFill="1" applyBorder="1" applyAlignment="1">
      <alignment horizontal="right" vertical="center"/>
    </xf>
    <xf numFmtId="168" fontId="5" fillId="5" borderId="1" xfId="1" applyNumberFormat="1" applyFont="1" applyFill="1" applyBorder="1" applyAlignment="1">
      <alignment horizontal="left" vertical="center" indent="2"/>
    </xf>
    <xf numFmtId="168" fontId="5" fillId="6" borderId="1" xfId="1" applyNumberFormat="1" applyFont="1" applyFill="1" applyBorder="1" applyAlignment="1">
      <alignment horizontal="left" vertical="center" indent="2"/>
    </xf>
    <xf numFmtId="0" fontId="21" fillId="8" borderId="1" xfId="0" applyFont="1" applyFill="1" applyBorder="1" applyAlignment="1">
      <alignment horizontal="left" vertical="center" indent="1"/>
    </xf>
    <xf numFmtId="168" fontId="22" fillId="5" borderId="5" xfId="1" applyNumberFormat="1" applyFont="1" applyFill="1" applyBorder="1" applyAlignment="1">
      <alignment horizontal="left" vertical="center" indent="1"/>
    </xf>
    <xf numFmtId="168" fontId="22" fillId="9" borderId="5" xfId="1" applyNumberFormat="1" applyFont="1" applyFill="1" applyBorder="1" applyAlignment="1">
      <alignment horizontal="left" vertical="center" indent="1"/>
    </xf>
    <xf numFmtId="164" fontId="17" fillId="5" borderId="1" xfId="0" applyNumberFormat="1" applyFont="1" applyFill="1" applyBorder="1" applyAlignment="1">
      <alignment horizontal="center" vertical="center"/>
    </xf>
    <xf numFmtId="164" fontId="17" fillId="5" borderId="1" xfId="0" applyNumberFormat="1" applyFont="1" applyFill="1" applyBorder="1" applyAlignment="1">
      <alignment vertical="center"/>
    </xf>
    <xf numFmtId="164" fontId="17" fillId="6" borderId="3" xfId="0" applyNumberFormat="1" applyFont="1" applyFill="1" applyBorder="1" applyAlignment="1">
      <alignment vertical="center"/>
    </xf>
    <xf numFmtId="164" fontId="17" fillId="6" borderId="1" xfId="0" applyNumberFormat="1" applyFont="1" applyFill="1" applyBorder="1" applyAlignment="1">
      <alignment vertical="center"/>
    </xf>
    <xf numFmtId="164" fontId="17" fillId="6" borderId="1" xfId="0" applyNumberFormat="1" applyFont="1" applyFill="1" applyBorder="1" applyAlignment="1">
      <alignment horizontal="center" vertical="center"/>
    </xf>
    <xf numFmtId="164" fontId="17" fillId="5" borderId="1" xfId="0" applyNumberFormat="1" applyFont="1" applyFill="1" applyBorder="1" applyAlignment="1">
      <alignment vertical="center" wrapText="1"/>
    </xf>
    <xf numFmtId="164" fontId="17" fillId="6" borderId="1" xfId="0" applyNumberFormat="1" applyFont="1" applyFill="1" applyBorder="1" applyAlignment="1">
      <alignment vertical="center" wrapText="1"/>
    </xf>
    <xf numFmtId="164" fontId="17" fillId="6" borderId="0" xfId="0" applyNumberFormat="1" applyFont="1" applyFill="1" applyBorder="1" applyAlignment="1">
      <alignment vertical="center" wrapText="1"/>
    </xf>
    <xf numFmtId="164" fontId="17" fillId="6" borderId="3" xfId="0" applyNumberFormat="1" applyFont="1" applyFill="1" applyBorder="1" applyAlignment="1">
      <alignment vertical="center" wrapText="1"/>
    </xf>
    <xf numFmtId="164" fontId="17" fillId="6" borderId="6" xfId="0" applyNumberFormat="1" applyFont="1" applyFill="1" applyBorder="1" applyAlignment="1">
      <alignment vertical="center" wrapText="1"/>
    </xf>
    <xf numFmtId="164" fontId="17" fillId="5" borderId="4" xfId="0" applyNumberFormat="1" applyFont="1" applyFill="1" applyBorder="1" applyAlignment="1">
      <alignment vertical="center" wrapText="1"/>
    </xf>
    <xf numFmtId="0" fontId="9" fillId="5" borderId="0" xfId="0" applyFont="1" applyFill="1" applyBorder="1" applyAlignment="1">
      <alignment horizontal="left" vertical="center" indent="1"/>
    </xf>
    <xf numFmtId="164" fontId="26" fillId="6" borderId="1" xfId="0" applyNumberFormat="1" applyFont="1" applyFill="1" applyBorder="1" applyAlignment="1">
      <alignment horizontal="right" vertical="center"/>
    </xf>
    <xf numFmtId="164" fontId="26" fillId="5" borderId="1" xfId="0" applyNumberFormat="1" applyFont="1" applyFill="1" applyBorder="1" applyAlignment="1">
      <alignment horizontal="right" vertical="center"/>
    </xf>
    <xf numFmtId="164" fontId="27" fillId="6" borderId="1" xfId="0" applyNumberFormat="1" applyFont="1" applyFill="1" applyBorder="1" applyAlignment="1">
      <alignment horizontal="right" vertical="center"/>
    </xf>
    <xf numFmtId="164" fontId="27" fillId="5" borderId="1" xfId="0" applyNumberFormat="1" applyFont="1" applyFill="1" applyBorder="1" applyAlignment="1">
      <alignment horizontal="right" vertical="center"/>
    </xf>
    <xf numFmtId="169" fontId="27" fillId="5" borderId="1" xfId="2" applyNumberFormat="1" applyFont="1" applyFill="1" applyBorder="1" applyAlignment="1">
      <alignment horizontal="right" vertical="center"/>
    </xf>
    <xf numFmtId="169" fontId="27" fillId="5" borderId="1" xfId="0" applyNumberFormat="1" applyFont="1" applyFill="1" applyBorder="1" applyAlignment="1">
      <alignment horizontal="right" vertical="center"/>
    </xf>
    <xf numFmtId="0" fontId="20" fillId="6" borderId="1" xfId="0" applyFont="1" applyFill="1" applyBorder="1" applyAlignment="1">
      <alignment horizontal="left" vertical="center" indent="1"/>
    </xf>
    <xf numFmtId="164" fontId="27" fillId="6" borderId="1" xfId="0" applyNumberFormat="1" applyFont="1" applyFill="1" applyBorder="1" applyAlignment="1">
      <alignment horizontal="center" vertical="center"/>
    </xf>
    <xf numFmtId="164" fontId="27" fillId="5" borderId="1" xfId="0" applyNumberFormat="1" applyFont="1" applyFill="1" applyBorder="1" applyAlignment="1">
      <alignment horizontal="center" vertical="center"/>
    </xf>
    <xf numFmtId="164" fontId="12" fillId="6" borderId="1" xfId="0" applyNumberFormat="1" applyFont="1" applyFill="1" applyBorder="1" applyAlignment="1">
      <alignment horizontal="center" vertical="center"/>
    </xf>
    <xf numFmtId="164" fontId="12" fillId="5" borderId="0" xfId="0" applyNumberFormat="1" applyFont="1" applyFill="1" applyBorder="1" applyAlignment="1">
      <alignment horizontal="center" vertical="center"/>
    </xf>
    <xf numFmtId="0" fontId="0" fillId="0" borderId="0" xfId="0" applyAlignment="1">
      <alignment horizontal="center"/>
    </xf>
    <xf numFmtId="164" fontId="27" fillId="5" borderId="1" xfId="0" quotePrefix="1" applyNumberFormat="1" applyFont="1" applyFill="1" applyBorder="1" applyAlignment="1">
      <alignment horizontal="left" vertical="center" wrapText="1"/>
    </xf>
    <xf numFmtId="164" fontId="27" fillId="6" borderId="1" xfId="0" applyNumberFormat="1" applyFont="1" applyFill="1" applyBorder="1" applyAlignment="1">
      <alignment horizontal="left" vertical="center" wrapText="1"/>
    </xf>
    <xf numFmtId="164" fontId="27" fillId="5" borderId="1" xfId="0" applyNumberFormat="1" applyFont="1" applyFill="1" applyBorder="1" applyAlignment="1">
      <alignment horizontal="left" vertical="center" wrapText="1"/>
    </xf>
    <xf numFmtId="0" fontId="11" fillId="2" borderId="8" xfId="0" applyFont="1" applyFill="1" applyBorder="1" applyAlignment="1">
      <alignment horizontal="center" vertical="center" wrapText="1"/>
    </xf>
    <xf numFmtId="0" fontId="28" fillId="6" borderId="1" xfId="0" applyFont="1" applyFill="1" applyBorder="1" applyAlignment="1">
      <alignment horizontal="left" vertical="center" wrapText="1" indent="1"/>
    </xf>
    <xf numFmtId="165" fontId="5" fillId="5" borderId="9" xfId="0" applyNumberFormat="1" applyFont="1" applyFill="1" applyBorder="1" applyAlignment="1">
      <alignment horizontal="right" vertical="center"/>
    </xf>
    <xf numFmtId="165" fontId="5" fillId="6" borderId="5" xfId="0" applyNumberFormat="1" applyFont="1" applyFill="1" applyBorder="1" applyAlignment="1">
      <alignment horizontal="right" vertical="center"/>
    </xf>
    <xf numFmtId="165" fontId="5" fillId="6" borderId="9" xfId="0" applyNumberFormat="1" applyFont="1" applyFill="1" applyBorder="1" applyAlignment="1">
      <alignment horizontal="right" vertical="center"/>
    </xf>
    <xf numFmtId="0" fontId="4" fillId="8" borderId="10" xfId="0" applyFont="1" applyFill="1" applyBorder="1" applyAlignment="1">
      <alignment horizontal="left" vertical="center" indent="1"/>
    </xf>
    <xf numFmtId="0" fontId="14" fillId="8" borderId="10" xfId="0" applyFont="1" applyFill="1" applyBorder="1" applyAlignment="1">
      <alignment horizontal="center" vertical="center" wrapText="1"/>
    </xf>
    <xf numFmtId="164" fontId="12" fillId="8" borderId="10" xfId="0" applyNumberFormat="1" applyFont="1" applyFill="1" applyBorder="1" applyAlignment="1">
      <alignment horizontal="right" vertical="center"/>
    </xf>
    <xf numFmtId="164" fontId="5" fillId="8" borderId="10" xfId="0" applyNumberFormat="1" applyFont="1" applyFill="1" applyBorder="1" applyAlignment="1">
      <alignment horizontal="right" vertical="center"/>
    </xf>
    <xf numFmtId="165" fontId="5" fillId="8" borderId="10" xfId="0" applyNumberFormat="1" applyFont="1" applyFill="1" applyBorder="1" applyAlignment="1">
      <alignment horizontal="right" vertical="center"/>
    </xf>
    <xf numFmtId="0" fontId="5" fillId="5" borderId="10" xfId="0" applyFont="1" applyFill="1" applyBorder="1" applyAlignment="1">
      <alignment horizontal="left" vertical="center" indent="1"/>
    </xf>
    <xf numFmtId="0" fontId="14" fillId="5" borderId="10" xfId="0" applyFont="1" applyFill="1" applyBorder="1" applyAlignment="1">
      <alignment horizontal="center" vertical="center" wrapText="1"/>
    </xf>
    <xf numFmtId="164" fontId="5" fillId="5" borderId="10" xfId="0" applyNumberFormat="1" applyFont="1" applyFill="1" applyBorder="1" applyAlignment="1">
      <alignment horizontal="right" vertical="center"/>
    </xf>
    <xf numFmtId="165" fontId="5" fillId="5" borderId="10" xfId="0" applyNumberFormat="1" applyFont="1" applyFill="1" applyBorder="1" applyAlignment="1">
      <alignment horizontal="right" vertical="center"/>
    </xf>
    <xf numFmtId="0" fontId="5" fillId="6" borderId="10" xfId="0" applyFont="1" applyFill="1" applyBorder="1" applyAlignment="1">
      <alignment horizontal="left" vertical="center" indent="1"/>
    </xf>
    <xf numFmtId="0" fontId="14" fillId="6" borderId="10" xfId="0" applyFont="1" applyFill="1" applyBorder="1" applyAlignment="1">
      <alignment horizontal="center" vertical="center" wrapText="1"/>
    </xf>
    <xf numFmtId="164" fontId="5" fillId="6" borderId="10" xfId="0" applyNumberFormat="1" applyFont="1" applyFill="1" applyBorder="1" applyAlignment="1">
      <alignment horizontal="right" vertical="center"/>
    </xf>
    <xf numFmtId="165" fontId="5" fillId="6" borderId="10" xfId="0" applyNumberFormat="1" applyFont="1" applyFill="1" applyBorder="1" applyAlignment="1">
      <alignment horizontal="right" vertical="center"/>
    </xf>
    <xf numFmtId="0" fontId="5" fillId="5" borderId="10" xfId="0" applyFont="1" applyFill="1" applyBorder="1" applyAlignment="1">
      <alignment horizontal="left" vertical="center" indent="2"/>
    </xf>
    <xf numFmtId="164" fontId="12" fillId="5" borderId="10" xfId="0" applyNumberFormat="1" applyFont="1" applyFill="1" applyBorder="1" applyAlignment="1">
      <alignment horizontal="right" vertical="center"/>
    </xf>
    <xf numFmtId="0" fontId="5" fillId="6" borderId="10" xfId="0" applyFont="1" applyFill="1" applyBorder="1" applyAlignment="1">
      <alignment horizontal="left" vertical="center" indent="2"/>
    </xf>
    <xf numFmtId="164" fontId="30" fillId="6" borderId="10" xfId="0" applyNumberFormat="1" applyFont="1" applyFill="1" applyBorder="1" applyAlignment="1">
      <alignment horizontal="right" vertical="center"/>
    </xf>
    <xf numFmtId="164" fontId="12" fillId="6" borderId="10" xfId="0" applyNumberFormat="1" applyFont="1" applyFill="1" applyBorder="1" applyAlignment="1">
      <alignment horizontal="right" vertical="center"/>
    </xf>
    <xf numFmtId="165" fontId="5" fillId="8" borderId="10" xfId="2" applyNumberFormat="1" applyFont="1" applyFill="1" applyBorder="1" applyAlignment="1">
      <alignment horizontal="right" vertical="center"/>
    </xf>
    <xf numFmtId="164" fontId="17" fillId="6" borderId="10" xfId="0" applyNumberFormat="1" applyFont="1" applyFill="1" applyBorder="1" applyAlignment="1">
      <alignment horizontal="right" vertical="center"/>
    </xf>
    <xf numFmtId="165" fontId="17" fillId="6" borderId="10" xfId="2" applyNumberFormat="1" applyFont="1" applyFill="1" applyBorder="1" applyAlignment="1">
      <alignment horizontal="right" vertical="center"/>
    </xf>
    <xf numFmtId="164" fontId="17" fillId="5" borderId="10" xfId="0" applyNumberFormat="1" applyFont="1" applyFill="1" applyBorder="1" applyAlignment="1">
      <alignment horizontal="right" vertical="center"/>
    </xf>
    <xf numFmtId="165" fontId="17" fillId="5" borderId="10" xfId="2" applyNumberFormat="1" applyFont="1" applyFill="1" applyBorder="1" applyAlignment="1">
      <alignment horizontal="right" vertical="center"/>
    </xf>
    <xf numFmtId="164" fontId="17" fillId="8" borderId="10" xfId="0" applyNumberFormat="1" applyFont="1" applyFill="1" applyBorder="1" applyAlignment="1">
      <alignment horizontal="right" vertical="center"/>
    </xf>
    <xf numFmtId="165" fontId="17" fillId="8" borderId="10" xfId="2" applyNumberFormat="1" applyFont="1" applyFill="1" applyBorder="1" applyAlignment="1">
      <alignment horizontal="right" vertical="center"/>
    </xf>
    <xf numFmtId="165" fontId="5" fillId="6" borderId="10" xfId="2" applyNumberFormat="1" applyFont="1" applyFill="1" applyBorder="1" applyAlignment="1">
      <alignment horizontal="right" vertical="center"/>
    </xf>
    <xf numFmtId="165" fontId="5" fillId="5" borderId="10" xfId="2" applyNumberFormat="1" applyFont="1" applyFill="1" applyBorder="1" applyAlignment="1">
      <alignment horizontal="right" vertical="center"/>
    </xf>
    <xf numFmtId="167" fontId="12" fillId="5" borderId="10" xfId="0" applyNumberFormat="1" applyFont="1" applyFill="1" applyBorder="1" applyAlignment="1">
      <alignment horizontal="right" vertical="center"/>
    </xf>
    <xf numFmtId="0" fontId="15" fillId="5" borderId="10" xfId="0" applyFont="1" applyFill="1" applyBorder="1" applyAlignment="1">
      <alignment horizontal="left" vertical="center" indent="1"/>
    </xf>
    <xf numFmtId="165" fontId="20" fillId="5" borderId="10" xfId="0" applyNumberFormat="1" applyFont="1" applyFill="1" applyBorder="1" applyAlignment="1">
      <alignment horizontal="right" vertical="center"/>
    </xf>
    <xf numFmtId="168" fontId="5" fillId="8" borderId="10" xfId="1" applyNumberFormat="1" applyFont="1" applyFill="1" applyBorder="1" applyAlignment="1">
      <alignment horizontal="right" vertical="center"/>
    </xf>
    <xf numFmtId="168" fontId="5" fillId="5" borderId="10" xfId="1" applyNumberFormat="1" applyFont="1" applyFill="1" applyBorder="1" applyAlignment="1">
      <alignment horizontal="right" vertical="center"/>
    </xf>
    <xf numFmtId="168" fontId="5" fillId="6" borderId="10" xfId="1" applyNumberFormat="1" applyFont="1" applyFill="1" applyBorder="1" applyAlignment="1">
      <alignment horizontal="right" vertical="center"/>
    </xf>
    <xf numFmtId="0" fontId="10" fillId="2" borderId="0" xfId="0" applyFont="1" applyFill="1" applyBorder="1" applyAlignment="1">
      <alignment horizontal="center" vertical="center" wrapText="1"/>
    </xf>
    <xf numFmtId="0" fontId="15" fillId="5" borderId="10" xfId="0" applyFont="1" applyFill="1" applyBorder="1" applyAlignment="1">
      <alignment horizontal="left" vertical="center" indent="1"/>
    </xf>
    <xf numFmtId="169" fontId="0" fillId="0" borderId="0" xfId="2" applyNumberFormat="1" applyFont="1"/>
    <xf numFmtId="0" fontId="5" fillId="9" borderId="11" xfId="0" applyFont="1" applyFill="1" applyBorder="1" applyAlignment="1">
      <alignment horizontal="left" vertical="center" indent="2"/>
    </xf>
    <xf numFmtId="0" fontId="5" fillId="5" borderId="11" xfId="0" applyFont="1" applyFill="1" applyBorder="1" applyAlignment="1">
      <alignment horizontal="left" vertical="center" indent="2"/>
    </xf>
    <xf numFmtId="165" fontId="27" fillId="6" borderId="1" xfId="2" applyNumberFormat="1" applyFont="1" applyFill="1" applyBorder="1" applyAlignment="1">
      <alignment horizontal="right" vertical="center"/>
    </xf>
    <xf numFmtId="165" fontId="27" fillId="5" borderId="1" xfId="2" applyNumberFormat="1" applyFont="1" applyFill="1" applyBorder="1" applyAlignment="1">
      <alignment horizontal="right" vertical="center"/>
    </xf>
    <xf numFmtId="165" fontId="27" fillId="6" borderId="1" xfId="0" applyNumberFormat="1" applyFont="1" applyFill="1" applyBorder="1" applyAlignment="1">
      <alignment horizontal="right" vertical="center"/>
    </xf>
    <xf numFmtId="165" fontId="30" fillId="10" borderId="1" xfId="2" applyNumberFormat="1" applyFont="1" applyFill="1" applyBorder="1" applyAlignment="1">
      <alignment horizontal="right" vertical="center"/>
    </xf>
    <xf numFmtId="165" fontId="30" fillId="11" borderId="1" xfId="2" applyNumberFormat="1" applyFont="1" applyFill="1" applyBorder="1" applyAlignment="1">
      <alignment horizontal="right" vertical="center"/>
    </xf>
    <xf numFmtId="168" fontId="20" fillId="5" borderId="10" xfId="1" applyNumberFormat="1" applyFont="1" applyFill="1" applyBorder="1" applyAlignment="1">
      <alignment horizontal="right" vertical="center"/>
    </xf>
    <xf numFmtId="164" fontId="27" fillId="6" borderId="1" xfId="0" applyNumberFormat="1" applyFont="1" applyFill="1" applyBorder="1" applyAlignment="1">
      <alignment horizontal="center" vertical="center" wrapText="1"/>
    </xf>
    <xf numFmtId="164" fontId="27" fillId="5" borderId="1" xfId="0" applyNumberFormat="1" applyFont="1" applyFill="1" applyBorder="1" applyAlignment="1">
      <alignment horizontal="center" vertical="center" wrapText="1"/>
    </xf>
    <xf numFmtId="9" fontId="30" fillId="11" borderId="1" xfId="2" applyFont="1" applyFill="1" applyBorder="1" applyAlignment="1">
      <alignment horizontal="right" vertical="center"/>
    </xf>
    <xf numFmtId="9" fontId="30" fillId="10" borderId="1" xfId="2" applyFont="1" applyFill="1" applyBorder="1" applyAlignment="1">
      <alignment horizontal="right" vertical="center"/>
    </xf>
    <xf numFmtId="169" fontId="30" fillId="10" borderId="1" xfId="2" applyNumberFormat="1" applyFont="1" applyFill="1" applyBorder="1" applyAlignment="1">
      <alignment horizontal="right" vertical="center"/>
    </xf>
    <xf numFmtId="169" fontId="30" fillId="11" borderId="1" xfId="2" applyNumberFormat="1" applyFont="1" applyFill="1" applyBorder="1" applyAlignment="1">
      <alignment horizontal="right" vertical="center"/>
    </xf>
    <xf numFmtId="168" fontId="5" fillId="6" borderId="10" xfId="1" applyNumberFormat="1" applyFont="1" applyFill="1" applyBorder="1" applyAlignment="1">
      <alignment horizontal="center" vertical="center"/>
    </xf>
    <xf numFmtId="0" fontId="0" fillId="12" borderId="11" xfId="0" applyFill="1" applyBorder="1" applyAlignment="1"/>
    <xf numFmtId="0" fontId="0" fillId="12" borderId="0" xfId="0" applyFill="1" applyAlignment="1"/>
    <xf numFmtId="0" fontId="0" fillId="12" borderId="0" xfId="0" applyFill="1" applyAlignment="1">
      <alignment horizontal="center"/>
    </xf>
    <xf numFmtId="168" fontId="5" fillId="6" borderId="10" xfId="1" applyNumberFormat="1" applyFont="1" applyFill="1" applyBorder="1" applyAlignment="1">
      <alignment horizontal="left" vertical="center"/>
    </xf>
    <xf numFmtId="168" fontId="5" fillId="5" borderId="10" xfId="1" applyNumberFormat="1" applyFont="1" applyFill="1" applyBorder="1" applyAlignment="1">
      <alignment horizontal="left" vertical="center"/>
    </xf>
    <xf numFmtId="168" fontId="20" fillId="5" borderId="10" xfId="1" applyNumberFormat="1" applyFont="1" applyFill="1" applyBorder="1" applyAlignment="1">
      <alignment horizontal="left" vertical="center" wrapText="1"/>
    </xf>
    <xf numFmtId="168" fontId="5" fillId="6" borderId="9" xfId="1" applyNumberFormat="1" applyFont="1" applyFill="1" applyBorder="1" applyAlignment="1">
      <alignment horizontal="right" vertical="center"/>
    </xf>
    <xf numFmtId="165" fontId="5" fillId="9" borderId="9" xfId="0" applyNumberFormat="1" applyFont="1" applyFill="1" applyBorder="1" applyAlignment="1">
      <alignment horizontal="right" vertical="center"/>
    </xf>
    <xf numFmtId="165" fontId="5" fillId="9" borderId="10" xfId="0" applyNumberFormat="1" applyFont="1" applyFill="1" applyBorder="1" applyAlignment="1">
      <alignment horizontal="right" vertical="center"/>
    </xf>
    <xf numFmtId="0" fontId="20" fillId="13" borderId="1" xfId="0" applyFont="1" applyFill="1" applyBorder="1" applyAlignment="1">
      <alignment horizontal="left" vertical="center" indent="1"/>
    </xf>
    <xf numFmtId="0" fontId="14" fillId="13" borderId="1" xfId="0" applyFont="1" applyFill="1" applyBorder="1" applyAlignment="1">
      <alignment horizontal="center" vertical="center" wrapText="1"/>
    </xf>
    <xf numFmtId="164" fontId="26" fillId="13" borderId="1" xfId="0" applyNumberFormat="1" applyFont="1" applyFill="1" applyBorder="1" applyAlignment="1">
      <alignment horizontal="right" vertical="center"/>
    </xf>
    <xf numFmtId="164" fontId="5" fillId="13" borderId="1" xfId="0" applyNumberFormat="1" applyFont="1" applyFill="1" applyBorder="1" applyAlignment="1">
      <alignment horizontal="right" vertical="center"/>
    </xf>
    <xf numFmtId="165" fontId="5" fillId="13" borderId="9" xfId="0" applyNumberFormat="1" applyFont="1" applyFill="1" applyBorder="1" applyAlignment="1">
      <alignment horizontal="right" vertical="center"/>
    </xf>
    <xf numFmtId="168" fontId="5" fillId="13" borderId="9" xfId="1" applyNumberFormat="1" applyFont="1" applyFill="1" applyBorder="1" applyAlignment="1">
      <alignment horizontal="right" vertical="center"/>
    </xf>
    <xf numFmtId="165" fontId="5" fillId="13" borderId="10" xfId="0" applyNumberFormat="1" applyFont="1" applyFill="1" applyBorder="1" applyAlignment="1">
      <alignment horizontal="right" vertical="center"/>
    </xf>
    <xf numFmtId="0" fontId="20" fillId="14" borderId="1" xfId="0" applyFont="1" applyFill="1" applyBorder="1" applyAlignment="1">
      <alignment horizontal="left" vertical="center" indent="1"/>
    </xf>
    <xf numFmtId="0" fontId="14" fillId="14" borderId="1" xfId="0" applyFont="1" applyFill="1" applyBorder="1" applyAlignment="1">
      <alignment horizontal="center" vertical="center" wrapText="1"/>
    </xf>
    <xf numFmtId="165" fontId="5" fillId="14" borderId="1" xfId="0" applyNumberFormat="1" applyFont="1" applyFill="1" applyBorder="1" applyAlignment="1">
      <alignment horizontal="right" vertical="center"/>
    </xf>
    <xf numFmtId="164" fontId="5" fillId="14" borderId="1" xfId="0" applyNumberFormat="1" applyFont="1" applyFill="1" applyBorder="1" applyAlignment="1">
      <alignment horizontal="right" vertical="center"/>
    </xf>
    <xf numFmtId="165" fontId="5" fillId="14" borderId="10" xfId="0" applyNumberFormat="1" applyFont="1" applyFill="1" applyBorder="1" applyAlignment="1">
      <alignment horizontal="right" vertical="center"/>
    </xf>
    <xf numFmtId="168" fontId="5" fillId="14" borderId="9" xfId="1" applyNumberFormat="1" applyFont="1" applyFill="1" applyBorder="1" applyAlignment="1">
      <alignment horizontal="right" vertical="center"/>
    </xf>
    <xf numFmtId="169" fontId="14" fillId="6" borderId="10" xfId="2" applyNumberFormat="1" applyFont="1" applyFill="1" applyBorder="1" applyAlignment="1">
      <alignment horizontal="center" vertical="center" wrapText="1"/>
    </xf>
    <xf numFmtId="0" fontId="15" fillId="9" borderId="1" xfId="0" applyFont="1" applyFill="1" applyBorder="1" applyAlignment="1">
      <alignment horizontal="left" vertical="center" indent="1"/>
    </xf>
    <xf numFmtId="0" fontId="15" fillId="9" borderId="0" xfId="0" applyFont="1" applyFill="1" applyBorder="1" applyAlignment="1">
      <alignment horizontal="left" vertical="center" indent="1"/>
    </xf>
    <xf numFmtId="0" fontId="15" fillId="14" borderId="1" xfId="0" applyFont="1" applyFill="1" applyBorder="1" applyAlignment="1">
      <alignment horizontal="left" vertical="center" indent="1"/>
    </xf>
    <xf numFmtId="0" fontId="20" fillId="9" borderId="1" xfId="0" applyFont="1" applyFill="1" applyBorder="1" applyAlignment="1">
      <alignment horizontal="left" vertical="center" indent="1"/>
    </xf>
    <xf numFmtId="168" fontId="32" fillId="14" borderId="1" xfId="1" applyNumberFormat="1" applyFont="1" applyFill="1" applyBorder="1" applyAlignment="1">
      <alignment horizontal="left" vertical="center" indent="1"/>
    </xf>
    <xf numFmtId="169" fontId="33" fillId="9" borderId="1" xfId="2" applyNumberFormat="1" applyFont="1" applyFill="1" applyBorder="1" applyAlignment="1">
      <alignment horizontal="right" vertical="center" indent="1"/>
    </xf>
    <xf numFmtId="165" fontId="5" fillId="14" borderId="4" xfId="0" applyNumberFormat="1" applyFont="1" applyFill="1" applyBorder="1" applyAlignment="1">
      <alignment horizontal="right" vertical="center"/>
    </xf>
    <xf numFmtId="0" fontId="15" fillId="14" borderId="5" xfId="0" applyFont="1" applyFill="1" applyBorder="1" applyAlignment="1">
      <alignment horizontal="left" vertical="center" indent="1"/>
    </xf>
    <xf numFmtId="0" fontId="10" fillId="2" borderId="0" xfId="0" applyFont="1" applyFill="1" applyBorder="1" applyAlignment="1">
      <alignment horizontal="center" vertical="center" wrapText="1"/>
    </xf>
    <xf numFmtId="0" fontId="13" fillId="3" borderId="0" xfId="0" applyFont="1" applyFill="1" applyBorder="1" applyAlignment="1">
      <alignment horizontal="center" vertical="center" wrapText="1"/>
    </xf>
    <xf numFmtId="169" fontId="17" fillId="5" borderId="1" xfId="2" applyNumberFormat="1" applyFont="1" applyFill="1" applyBorder="1" applyAlignment="1">
      <alignment horizontal="right" vertical="center"/>
    </xf>
    <xf numFmtId="169" fontId="17" fillId="6" borderId="1" xfId="2" applyNumberFormat="1" applyFont="1" applyFill="1" applyBorder="1" applyAlignment="1">
      <alignment horizontal="right" vertical="center"/>
    </xf>
    <xf numFmtId="0" fontId="28" fillId="6" borderId="1" xfId="0" applyFont="1" applyFill="1" applyBorder="1" applyAlignment="1">
      <alignment horizontal="left" vertical="center" indent="1"/>
    </xf>
    <xf numFmtId="167" fontId="16" fillId="6" borderId="1" xfId="0" applyNumberFormat="1" applyFont="1" applyFill="1" applyBorder="1" applyAlignment="1">
      <alignment horizontal="right" vertical="center"/>
    </xf>
    <xf numFmtId="0" fontId="3" fillId="3" borderId="9" xfId="0" applyFont="1" applyFill="1" applyBorder="1" applyAlignment="1">
      <alignment horizontal="left" vertical="center" indent="1"/>
    </xf>
    <xf numFmtId="0" fontId="0" fillId="0" borderId="9" xfId="0" applyBorder="1"/>
    <xf numFmtId="0" fontId="0" fillId="0" borderId="4" xfId="0" applyBorder="1"/>
    <xf numFmtId="168" fontId="5" fillId="5" borderId="4" xfId="1" applyNumberFormat="1" applyFont="1" applyFill="1" applyBorder="1" applyAlignment="1">
      <alignment horizontal="right" vertical="center"/>
    </xf>
    <xf numFmtId="168" fontId="5" fillId="6" borderId="4" xfId="1" applyNumberFormat="1" applyFont="1" applyFill="1" applyBorder="1" applyAlignment="1">
      <alignment horizontal="right" vertical="center"/>
    </xf>
    <xf numFmtId="0" fontId="34"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10" fontId="0" fillId="0" borderId="0" xfId="0" applyNumberFormat="1" applyAlignment="1">
      <alignment vertical="center" wrapText="1"/>
    </xf>
    <xf numFmtId="169" fontId="5" fillId="5" borderId="1" xfId="2" applyNumberFormat="1" applyFont="1" applyFill="1" applyBorder="1" applyAlignment="1">
      <alignment horizontal="right" vertical="center"/>
    </xf>
    <xf numFmtId="168" fontId="15" fillId="14" borderId="1" xfId="0" applyNumberFormat="1" applyFont="1" applyFill="1" applyBorder="1" applyAlignment="1">
      <alignment horizontal="left" vertical="center" indent="1"/>
    </xf>
    <xf numFmtId="165" fontId="26" fillId="14" borderId="1" xfId="0" applyNumberFormat="1" applyFont="1" applyFill="1" applyBorder="1" applyAlignment="1">
      <alignment horizontal="right" vertical="center"/>
    </xf>
    <xf numFmtId="169" fontId="5" fillId="14" borderId="9" xfId="2" applyNumberFormat="1" applyFont="1" applyFill="1" applyBorder="1" applyAlignment="1">
      <alignment horizontal="right" vertical="center"/>
    </xf>
    <xf numFmtId="0" fontId="28" fillId="5" borderId="1" xfId="0" applyFont="1" applyFill="1" applyBorder="1" applyAlignment="1">
      <alignment horizontal="left" vertical="center" wrapText="1" indent="1"/>
    </xf>
    <xf numFmtId="164" fontId="27" fillId="6" borderId="1" xfId="0" quotePrefix="1" applyNumberFormat="1" applyFont="1" applyFill="1" applyBorder="1" applyAlignment="1">
      <alignment horizontal="left" vertical="center" wrapText="1"/>
    </xf>
    <xf numFmtId="0" fontId="19" fillId="2" borderId="7" xfId="0" applyFont="1" applyFill="1" applyBorder="1" applyAlignment="1">
      <alignment horizontal="center" vertical="center" wrapText="1"/>
    </xf>
    <xf numFmtId="0" fontId="29" fillId="5" borderId="1" xfId="0" applyFont="1" applyFill="1" applyBorder="1" applyAlignment="1">
      <alignment horizontal="left" vertical="center" wrapText="1" indent="1"/>
    </xf>
    <xf numFmtId="0" fontId="29" fillId="6" borderId="1" xfId="0" applyFont="1" applyFill="1" applyBorder="1" applyAlignment="1">
      <alignment horizontal="left" vertical="center" wrapText="1" indent="1"/>
    </xf>
    <xf numFmtId="164" fontId="27" fillId="9" borderId="1" xfId="0" applyNumberFormat="1" applyFont="1" applyFill="1" applyBorder="1" applyAlignment="1">
      <alignment horizontal="left" vertical="center" wrapText="1"/>
    </xf>
    <xf numFmtId="164" fontId="35" fillId="5" borderId="1" xfId="0" applyNumberFormat="1" applyFont="1" applyFill="1" applyBorder="1" applyAlignment="1">
      <alignment horizontal="left" vertical="center" wrapText="1"/>
    </xf>
    <xf numFmtId="164" fontId="35" fillId="6" borderId="1" xfId="0" applyNumberFormat="1" applyFont="1" applyFill="1" applyBorder="1" applyAlignment="1">
      <alignment horizontal="left" vertical="center" wrapText="1"/>
    </xf>
    <xf numFmtId="0" fontId="20" fillId="5" borderId="1" xfId="0" applyFont="1" applyFill="1" applyBorder="1" applyAlignment="1">
      <alignment horizontal="left" vertical="center" indent="1"/>
    </xf>
    <xf numFmtId="0" fontId="5" fillId="5" borderId="0" xfId="0" applyFont="1" applyFill="1" applyBorder="1" applyAlignment="1">
      <alignment horizontal="left" vertical="center" indent="1"/>
    </xf>
    <xf numFmtId="0" fontId="9" fillId="0" borderId="0" xfId="0" applyFont="1" applyBorder="1" applyAlignment="1">
      <alignment horizontal="left" vertical="center" indent="1"/>
    </xf>
    <xf numFmtId="0" fontId="1" fillId="2"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3" fillId="3" borderId="0" xfId="0" applyFont="1" applyFill="1" applyBorder="1" applyAlignment="1">
      <alignment horizontal="left" vertical="center" indent="1"/>
    </xf>
    <xf numFmtId="0" fontId="10" fillId="2" borderId="0" xfId="0" applyFont="1" applyFill="1" applyBorder="1" applyAlignment="1">
      <alignment horizontal="center" vertical="center" wrapText="1"/>
    </xf>
    <xf numFmtId="0" fontId="13" fillId="3" borderId="0" xfId="0" applyFont="1" applyFill="1" applyBorder="1" applyAlignment="1">
      <alignment horizontal="center" vertical="center" wrapText="1"/>
    </xf>
    <xf numFmtId="0" fontId="31" fillId="9" borderId="10" xfId="0" applyFont="1" applyFill="1" applyBorder="1" applyAlignment="1">
      <alignment horizontal="left" vertical="center" indent="1"/>
    </xf>
    <xf numFmtId="0" fontId="15" fillId="9" borderId="10" xfId="0" applyFont="1" applyFill="1" applyBorder="1" applyAlignment="1">
      <alignment horizontal="left" vertical="center" indent="1"/>
    </xf>
    <xf numFmtId="0" fontId="15" fillId="5" borderId="10" xfId="0" applyFont="1" applyFill="1" applyBorder="1" applyAlignment="1">
      <alignment horizontal="left" vertical="center" indent="1"/>
    </xf>
    <xf numFmtId="0" fontId="13" fillId="3" borderId="3" xfId="0" applyFont="1" applyFill="1" applyBorder="1" applyAlignment="1">
      <alignment horizontal="center" vertical="center" wrapText="1"/>
    </xf>
    <xf numFmtId="0" fontId="15" fillId="5" borderId="0" xfId="0" applyFont="1" applyFill="1" applyBorder="1" applyAlignment="1">
      <alignment horizontal="left" vertical="center" indent="1"/>
    </xf>
    <xf numFmtId="0" fontId="36" fillId="3" borderId="0" xfId="0" applyFont="1" applyFill="1" applyBorder="1" applyAlignment="1">
      <alignment horizontal="center" vertical="center" wrapText="1"/>
    </xf>
    <xf numFmtId="0" fontId="15" fillId="5" borderId="5" xfId="0" applyFont="1" applyFill="1" applyBorder="1" applyAlignment="1">
      <alignment horizontal="left" vertical="center" indent="1"/>
    </xf>
    <xf numFmtId="0" fontId="25" fillId="2" borderId="0"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9B59B6"/>
      <rgbColor rgb="FF9999FF"/>
      <rgbColor rgb="FF993366"/>
      <rgbColor rgb="FFF5F5F5"/>
      <rgbColor rgb="FFCCFFFF"/>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C9A84C"/>
      <rgbColor rgb="FFED7D31"/>
      <rgbColor rgb="FF595959"/>
      <rgbColor rgb="FF70AD47"/>
      <rgbColor rgb="FF1B3A6B"/>
      <rgbColor rgb="FF339966"/>
      <rgbColor rgb="FF003300"/>
      <rgbColor rgb="FF333300"/>
      <rgbColor rgb="FF993300"/>
      <rgbColor rgb="FF993366"/>
      <rgbColor rgb="FF2C4F8A"/>
      <rgbColor rgb="FF333333"/>
      <rgbColor rgb="00003366"/>
      <rgbColor rgb="00339966"/>
      <rgbColor rgb="00003300"/>
      <rgbColor rgb="00333300"/>
      <rgbColor rgb="00993300"/>
      <rgbColor rgb="00993366"/>
      <rgbColor rgb="00333399"/>
      <rgbColor rgb="00333333"/>
    </indexedColors>
    <mruColors>
      <color rgb="FFFFFFC0"/>
      <color rgb="FFFF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A2:D25"/>
  <sheetViews>
    <sheetView zoomScaleNormal="100" workbookViewId="0">
      <selection activeCell="C13" sqref="C13"/>
    </sheetView>
  </sheetViews>
  <sheetFormatPr defaultColWidth="8.6640625" defaultRowHeight="14.4" x14ac:dyDescent="0.3"/>
  <cols>
    <col min="1" max="1" width="4" style="1" customWidth="1"/>
    <col min="2" max="2" width="36" style="1" customWidth="1"/>
    <col min="3" max="3" width="51.6640625" style="1" customWidth="1"/>
    <col min="4" max="4" width="16" style="1" customWidth="1"/>
  </cols>
  <sheetData>
    <row r="2" spans="2:4" ht="30" customHeight="1" x14ac:dyDescent="0.3">
      <c r="B2" s="206" t="s">
        <v>0</v>
      </c>
      <c r="C2" s="206"/>
      <c r="D2" s="206"/>
    </row>
    <row r="3" spans="2:4" ht="18" customHeight="1" x14ac:dyDescent="0.3">
      <c r="B3" s="207" t="s">
        <v>1</v>
      </c>
      <c r="C3" s="207"/>
      <c r="D3" s="207"/>
    </row>
    <row r="4" spans="2:4" ht="3" customHeight="1" x14ac:dyDescent="0.3">
      <c r="B4" s="2"/>
      <c r="C4" s="2"/>
      <c r="D4" s="2"/>
    </row>
    <row r="6" spans="2:4" ht="15" customHeight="1" x14ac:dyDescent="0.3">
      <c r="B6" s="3" t="s">
        <v>2</v>
      </c>
      <c r="C6" s="3" t="s">
        <v>3</v>
      </c>
      <c r="D6" s="4" t="s">
        <v>4</v>
      </c>
    </row>
    <row r="7" spans="2:4" ht="15" customHeight="1" x14ac:dyDescent="0.3">
      <c r="B7" s="5" t="s">
        <v>5</v>
      </c>
      <c r="C7" s="6" t="s">
        <v>6</v>
      </c>
      <c r="D7" s="7" t="s">
        <v>7</v>
      </c>
    </row>
    <row r="8" spans="2:4" ht="15" customHeight="1" x14ac:dyDescent="0.3">
      <c r="B8" s="8" t="s">
        <v>8</v>
      </c>
      <c r="C8" s="8" t="s">
        <v>9</v>
      </c>
      <c r="D8" s="9" t="s">
        <v>10</v>
      </c>
    </row>
    <row r="9" spans="2:4" ht="15" customHeight="1" x14ac:dyDescent="0.3">
      <c r="B9" s="6" t="s">
        <v>11</v>
      </c>
      <c r="C9" s="6" t="s">
        <v>12</v>
      </c>
      <c r="D9" s="10" t="s">
        <v>10</v>
      </c>
    </row>
    <row r="10" spans="2:4" ht="15" customHeight="1" x14ac:dyDescent="0.3">
      <c r="B10" s="8" t="s">
        <v>13</v>
      </c>
      <c r="C10" s="8" t="s">
        <v>14</v>
      </c>
      <c r="D10" s="9" t="s">
        <v>10</v>
      </c>
    </row>
    <row r="11" spans="2:4" ht="15" customHeight="1" x14ac:dyDescent="0.3">
      <c r="B11" s="6" t="s">
        <v>15</v>
      </c>
      <c r="C11" s="6" t="s">
        <v>16</v>
      </c>
      <c r="D11" s="10" t="s">
        <v>10</v>
      </c>
    </row>
    <row r="12" spans="2:4" ht="15" customHeight="1" x14ac:dyDescent="0.3">
      <c r="B12" s="8" t="s">
        <v>17</v>
      </c>
      <c r="C12" s="8" t="s">
        <v>18</v>
      </c>
      <c r="D12" s="11" t="s">
        <v>19</v>
      </c>
    </row>
    <row r="13" spans="2:4" ht="15" customHeight="1" x14ac:dyDescent="0.3">
      <c r="B13" s="6" t="s">
        <v>20</v>
      </c>
      <c r="C13" s="6" t="s">
        <v>21</v>
      </c>
      <c r="D13" s="10" t="s">
        <v>10</v>
      </c>
    </row>
    <row r="14" spans="2:4" ht="15" customHeight="1" x14ac:dyDescent="0.3">
      <c r="B14" s="8" t="s">
        <v>22</v>
      </c>
      <c r="C14" s="8" t="s">
        <v>23</v>
      </c>
      <c r="D14" s="11" t="s">
        <v>19</v>
      </c>
    </row>
    <row r="17" spans="2:4" ht="15" customHeight="1" x14ac:dyDescent="0.3">
      <c r="B17" s="208" t="s">
        <v>24</v>
      </c>
      <c r="C17" s="208"/>
      <c r="D17" s="208"/>
    </row>
    <row r="18" spans="2:4" ht="15" customHeight="1" x14ac:dyDescent="0.3">
      <c r="B18" s="12" t="s">
        <v>25</v>
      </c>
      <c r="C18" s="204" t="s">
        <v>26</v>
      </c>
      <c r="D18" s="204"/>
    </row>
    <row r="19" spans="2:4" ht="15" customHeight="1" x14ac:dyDescent="0.3">
      <c r="B19" s="13" t="s">
        <v>27</v>
      </c>
      <c r="C19" s="204" t="s">
        <v>28</v>
      </c>
      <c r="D19" s="204"/>
    </row>
    <row r="20" spans="2:4" ht="15" customHeight="1" x14ac:dyDescent="0.3">
      <c r="B20" s="14" t="s">
        <v>29</v>
      </c>
      <c r="C20" s="204" t="s">
        <v>30</v>
      </c>
      <c r="D20" s="204"/>
    </row>
    <row r="21" spans="2:4" ht="15" customHeight="1" x14ac:dyDescent="0.3">
      <c r="B21" s="15" t="s">
        <v>31</v>
      </c>
      <c r="C21" s="204" t="s">
        <v>32</v>
      </c>
      <c r="D21" s="204"/>
    </row>
    <row r="22" spans="2:4" ht="15" customHeight="1" x14ac:dyDescent="0.3">
      <c r="B22" s="16" t="s">
        <v>33</v>
      </c>
      <c r="C22" s="204" t="s">
        <v>34</v>
      </c>
      <c r="D22" s="204"/>
    </row>
    <row r="24" spans="2:4" ht="15" customHeight="1" x14ac:dyDescent="0.3">
      <c r="B24" s="205" t="s">
        <v>35</v>
      </c>
      <c r="C24" s="205"/>
      <c r="D24" s="205"/>
    </row>
    <row r="25" spans="2:4" ht="15" customHeight="1" x14ac:dyDescent="0.3">
      <c r="B25" s="205" t="s">
        <v>36</v>
      </c>
      <c r="C25" s="205"/>
      <c r="D25" s="205"/>
    </row>
  </sheetData>
  <mergeCells count="10">
    <mergeCell ref="B2:D2"/>
    <mergeCell ref="B3:D3"/>
    <mergeCell ref="B17:D17"/>
    <mergeCell ref="C18:D18"/>
    <mergeCell ref="C19:D19"/>
    <mergeCell ref="C20:D20"/>
    <mergeCell ref="C21:D21"/>
    <mergeCell ref="C22:D22"/>
    <mergeCell ref="B24:D24"/>
    <mergeCell ref="B25:D2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1BC5D-26E6-4C3F-A6D8-314ABA719D18}">
  <dimension ref="A1:F12"/>
  <sheetViews>
    <sheetView workbookViewId="0">
      <selection activeCell="C9" sqref="C9"/>
    </sheetView>
  </sheetViews>
  <sheetFormatPr defaultRowHeight="14.4" x14ac:dyDescent="0.3"/>
  <cols>
    <col min="1" max="1" width="7.44140625" customWidth="1"/>
    <col min="2" max="2" width="18.109375" customWidth="1"/>
    <col min="3" max="3" width="48.44140625" customWidth="1"/>
    <col min="4" max="5" width="10.44140625" bestFit="1" customWidth="1"/>
    <col min="6" max="6" width="106.77734375" customWidth="1"/>
  </cols>
  <sheetData>
    <row r="1" spans="1:6" ht="15.6" x14ac:dyDescent="0.3">
      <c r="A1" s="209" t="s">
        <v>99</v>
      </c>
      <c r="B1" s="209"/>
      <c r="C1" s="209"/>
      <c r="D1" s="209"/>
      <c r="E1" s="209"/>
      <c r="F1" s="209"/>
    </row>
    <row r="2" spans="1:6" x14ac:dyDescent="0.3">
      <c r="A2" s="210" t="s">
        <v>100</v>
      </c>
      <c r="B2" s="210"/>
      <c r="C2" s="210"/>
      <c r="D2" s="210"/>
      <c r="E2" s="210"/>
      <c r="F2" s="210"/>
    </row>
    <row r="3" spans="1:6" x14ac:dyDescent="0.3">
      <c r="A3" s="51" t="s">
        <v>346</v>
      </c>
      <c r="B3" s="51" t="s">
        <v>407</v>
      </c>
      <c r="C3" s="51" t="s">
        <v>406</v>
      </c>
      <c r="D3" s="51" t="s">
        <v>347</v>
      </c>
      <c r="E3" s="51" t="s">
        <v>4</v>
      </c>
      <c r="F3" s="51" t="s">
        <v>405</v>
      </c>
    </row>
    <row r="4" spans="1:6" x14ac:dyDescent="0.3">
      <c r="A4" s="59" t="s">
        <v>348</v>
      </c>
      <c r="B4" s="25"/>
      <c r="C4" s="25"/>
      <c r="D4" s="26"/>
      <c r="E4" s="26"/>
      <c r="F4" s="26"/>
    </row>
    <row r="5" spans="1:6" ht="39.6" x14ac:dyDescent="0.3">
      <c r="A5" s="57">
        <v>1</v>
      </c>
      <c r="B5" s="60">
        <f>SEGMENT!E7</f>
        <v>3780801</v>
      </c>
      <c r="C5" s="63" t="s">
        <v>391</v>
      </c>
      <c r="D5" s="62" t="s">
        <v>349</v>
      </c>
      <c r="E5" s="62" t="s">
        <v>357</v>
      </c>
      <c r="F5" s="67" t="s">
        <v>392</v>
      </c>
    </row>
    <row r="6" spans="1:6" ht="39.6" x14ac:dyDescent="0.3">
      <c r="A6" s="58">
        <v>2</v>
      </c>
      <c r="B6" s="61">
        <f>IS!D22</f>
        <v>-78767510</v>
      </c>
      <c r="C6" s="68" t="s">
        <v>397</v>
      </c>
      <c r="D6" s="66" t="s">
        <v>349</v>
      </c>
      <c r="E6" s="66" t="s">
        <v>357</v>
      </c>
      <c r="F6" s="69" t="s">
        <v>393</v>
      </c>
    </row>
    <row r="7" spans="1:6" ht="39.6" x14ac:dyDescent="0.3">
      <c r="A7" s="57">
        <v>3</v>
      </c>
      <c r="B7" s="60">
        <f>IS!E25</f>
        <v>-2305125</v>
      </c>
      <c r="C7" s="67" t="s">
        <v>398</v>
      </c>
      <c r="D7" s="62" t="s">
        <v>349</v>
      </c>
      <c r="E7" s="62" t="s">
        <v>357</v>
      </c>
      <c r="F7" s="72" t="s">
        <v>394</v>
      </c>
    </row>
    <row r="8" spans="1:6" ht="26.4" x14ac:dyDescent="0.3">
      <c r="A8" s="58">
        <v>4</v>
      </c>
      <c r="B8" s="61">
        <f>BS!F7</f>
        <v>304955</v>
      </c>
      <c r="C8" s="68" t="s">
        <v>399</v>
      </c>
      <c r="D8" s="66" t="s">
        <v>350</v>
      </c>
      <c r="E8" s="66" t="s">
        <v>357</v>
      </c>
      <c r="F8" s="70" t="s">
        <v>395</v>
      </c>
    </row>
    <row r="9" spans="1:6" ht="26.4" x14ac:dyDescent="0.3">
      <c r="A9" s="57">
        <v>5</v>
      </c>
      <c r="B9" s="60">
        <f>BS!F8</f>
        <v>1000000</v>
      </c>
      <c r="C9" s="67" t="s">
        <v>400</v>
      </c>
      <c r="D9" s="62" t="s">
        <v>351</v>
      </c>
      <c r="E9" s="62" t="s">
        <v>357</v>
      </c>
      <c r="F9" s="67" t="s">
        <v>396</v>
      </c>
    </row>
    <row r="10" spans="1:6" ht="26.4" x14ac:dyDescent="0.3">
      <c r="A10" s="58">
        <v>6</v>
      </c>
      <c r="B10" s="61">
        <f>BS!D25</f>
        <v>8036379</v>
      </c>
      <c r="C10" s="68" t="s">
        <v>401</v>
      </c>
      <c r="D10" s="66" t="s">
        <v>351</v>
      </c>
      <c r="E10" s="66" t="s">
        <v>357</v>
      </c>
      <c r="F10" s="71" t="s">
        <v>403</v>
      </c>
    </row>
    <row r="11" spans="1:6" ht="26.4" x14ac:dyDescent="0.3">
      <c r="A11" s="57">
        <v>7</v>
      </c>
      <c r="B11" s="60">
        <f>BS!F27</f>
        <v>10594799</v>
      </c>
      <c r="C11" s="67" t="s">
        <v>402</v>
      </c>
      <c r="D11" s="62" t="s">
        <v>349</v>
      </c>
      <c r="E11" s="62" t="s">
        <v>357</v>
      </c>
      <c r="F11" s="72" t="s">
        <v>404</v>
      </c>
    </row>
    <row r="12" spans="1:6" x14ac:dyDescent="0.3">
      <c r="A12" s="58"/>
      <c r="B12" s="61"/>
      <c r="C12" s="65"/>
      <c r="D12" s="66"/>
      <c r="E12" s="66"/>
      <c r="F12" s="64"/>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P34"/>
  <sheetViews>
    <sheetView zoomScale="90" zoomScaleNormal="90" workbookViewId="0">
      <pane xSplit="2" ySplit="3" topLeftCell="C8" activePane="bottomRight" state="frozen"/>
      <selection pane="topRight" activeCell="C1" sqref="C1"/>
      <selection pane="bottomLeft" activeCell="A4" sqref="A4"/>
      <selection pane="bottomRight" activeCell="O6" sqref="O6"/>
    </sheetView>
  </sheetViews>
  <sheetFormatPr defaultColWidth="8.6640625" defaultRowHeight="14.4" x14ac:dyDescent="0.3"/>
  <cols>
    <col min="1" max="1" width="3" style="1" customWidth="1"/>
    <col min="2" max="2" width="38" style="1" customWidth="1"/>
    <col min="3" max="4" width="14" style="1" customWidth="1"/>
    <col min="5" max="6" width="15.33203125" style="1" customWidth="1"/>
    <col min="7" max="9" width="14" style="1" customWidth="1"/>
    <col min="10" max="10" width="18" style="85" customWidth="1"/>
    <col min="11" max="11" width="16.5546875" style="1" customWidth="1"/>
    <col min="12" max="13" width="14" style="1" customWidth="1"/>
    <col min="14" max="14" width="1.88671875" style="1" customWidth="1"/>
    <col min="15" max="15" width="85.109375" style="1" customWidth="1"/>
    <col min="16" max="16" width="63.88671875" style="1" customWidth="1"/>
  </cols>
  <sheetData>
    <row r="1" spans="2:16" ht="24" customHeight="1" x14ac:dyDescent="0.3">
      <c r="B1" s="209" t="s">
        <v>37</v>
      </c>
      <c r="C1" s="209"/>
      <c r="D1" s="209"/>
      <c r="E1" s="209"/>
      <c r="F1" s="209"/>
      <c r="G1" s="209"/>
      <c r="H1" s="209"/>
      <c r="I1" s="209"/>
      <c r="J1" s="209"/>
      <c r="K1" s="209"/>
      <c r="L1" s="209"/>
      <c r="M1" s="209"/>
      <c r="N1" s="209"/>
      <c r="O1" s="209"/>
      <c r="P1" s="209"/>
    </row>
    <row r="2" spans="2:16" ht="15" customHeight="1" x14ac:dyDescent="0.3">
      <c r="B2" s="17" t="s">
        <v>38</v>
      </c>
      <c r="C2" s="17" t="s">
        <v>358</v>
      </c>
      <c r="D2" s="17" t="s">
        <v>359</v>
      </c>
      <c r="E2" s="17" t="s">
        <v>360</v>
      </c>
      <c r="F2" s="17" t="s">
        <v>375</v>
      </c>
      <c r="G2" s="17" t="s">
        <v>361</v>
      </c>
      <c r="H2" s="17" t="s">
        <v>362</v>
      </c>
      <c r="I2" s="17" t="s">
        <v>376</v>
      </c>
      <c r="J2" s="17" t="s">
        <v>307</v>
      </c>
      <c r="K2" s="17" t="s">
        <v>363</v>
      </c>
      <c r="L2" s="17" t="s">
        <v>364</v>
      </c>
      <c r="M2" s="17" t="s">
        <v>365</v>
      </c>
      <c r="N2" s="89"/>
      <c r="O2" s="197" t="s">
        <v>420</v>
      </c>
      <c r="P2" s="51" t="s">
        <v>366</v>
      </c>
    </row>
    <row r="3" spans="2:16" ht="15.75" customHeight="1" x14ac:dyDescent="0.3">
      <c r="B3" s="208" t="s">
        <v>41</v>
      </c>
      <c r="C3" s="208"/>
      <c r="D3" s="208"/>
      <c r="E3" s="208"/>
      <c r="F3" s="208"/>
      <c r="G3" s="208"/>
      <c r="H3" s="208"/>
      <c r="I3" s="208"/>
      <c r="J3" s="208"/>
      <c r="K3" s="208"/>
      <c r="L3" s="208"/>
      <c r="M3" s="208"/>
      <c r="N3" s="208"/>
      <c r="O3" s="208"/>
      <c r="P3" s="208"/>
    </row>
    <row r="4" spans="2:16" ht="15" customHeight="1" x14ac:dyDescent="0.3">
      <c r="B4" s="8" t="s">
        <v>42</v>
      </c>
      <c r="C4" s="74">
        <f>IS!D4</f>
        <v>14785492</v>
      </c>
      <c r="D4" s="74">
        <f>IS!E4</f>
        <v>15894462</v>
      </c>
      <c r="E4" s="76">
        <f>D4-C4</f>
        <v>1108970</v>
      </c>
      <c r="F4" s="132">
        <f>IF(C4=0, "n.a",E4/C4)</f>
        <v>7.5003929527674831E-2</v>
      </c>
      <c r="G4" s="74">
        <f>IS!F4</f>
        <v>18322117</v>
      </c>
      <c r="H4" s="76">
        <f>G4-D4</f>
        <v>2427655</v>
      </c>
      <c r="I4" s="132">
        <f>IF(D4=0, "n.a", H4/D4)</f>
        <v>0.15273590260557418</v>
      </c>
      <c r="J4" s="81"/>
      <c r="K4" s="134"/>
      <c r="L4" s="134"/>
      <c r="M4" s="134"/>
      <c r="N4" s="76"/>
      <c r="O4" s="76"/>
      <c r="P4" s="19"/>
    </row>
    <row r="5" spans="2:16" ht="53.4" customHeight="1" x14ac:dyDescent="0.3">
      <c r="B5" s="20" t="s">
        <v>368</v>
      </c>
      <c r="C5" s="75">
        <f>SEGMENT!C5</f>
        <v>2131131</v>
      </c>
      <c r="D5" s="75">
        <f>SEGMENT!D5</f>
        <v>5344984</v>
      </c>
      <c r="E5" s="77">
        <f t="shared" ref="E5:E10" si="0">D5-C5</f>
        <v>3213853</v>
      </c>
      <c r="F5" s="133">
        <f t="shared" ref="F5:F10" si="1">IF(C5=0, "n.a",E5/C5)</f>
        <v>1.5080504201759535</v>
      </c>
      <c r="G5" s="75">
        <f>SEGMENT!E5</f>
        <v>5779206</v>
      </c>
      <c r="H5" s="77">
        <f>G5-D5</f>
        <v>434222</v>
      </c>
      <c r="I5" s="133">
        <f t="shared" ref="I5:I10" si="2">IF(D5=0, "n.a", H5/D5)</f>
        <v>8.1239158059219635E-2</v>
      </c>
      <c r="J5" s="82" t="str">
        <f t="shared" ref="J5:J10" si="3">IF(OR(D5="", G5=""), "",
   IF(AND(D5&lt;0, G5&lt;0, G5&gt;D5), "Accelerating",
      IF(AND(D5&lt;0, G5&lt;0, G5&lt;D5), "Decelerating",
         IF(AND(D5&gt;=0, G5&gt;=0, G5&gt;D5), "Accelerating",
            IF(AND(D5&gt;=0, G5&gt;=0, G5&lt;D5), "Decelerating",
               IF(ABS(G5-D5)&lt;0.01, "Stable",
                  "Structural Break"))))))</f>
        <v>Accelerating</v>
      </c>
      <c r="K5" s="135">
        <v>0.05</v>
      </c>
      <c r="L5" s="135">
        <v>7.4999999999999997E-2</v>
      </c>
      <c r="M5" s="135">
        <v>0.09</v>
      </c>
      <c r="N5" s="77"/>
      <c r="O5" s="86" t="s">
        <v>409</v>
      </c>
      <c r="P5" s="195" t="s">
        <v>408</v>
      </c>
    </row>
    <row r="6" spans="2:16" ht="106.2" customHeight="1" x14ac:dyDescent="0.3">
      <c r="B6" s="23" t="s">
        <v>369</v>
      </c>
      <c r="C6" s="74">
        <f>SEGMENT!C6</f>
        <v>8665040</v>
      </c>
      <c r="D6" s="74">
        <f>SEGMENT!D6</f>
        <v>5801835</v>
      </c>
      <c r="E6" s="76">
        <f t="shared" si="0"/>
        <v>-2863205</v>
      </c>
      <c r="F6" s="132">
        <f t="shared" si="1"/>
        <v>-0.33043182720449071</v>
      </c>
      <c r="G6" s="74">
        <f>SEGMENT!E6</f>
        <v>5689230</v>
      </c>
      <c r="H6" s="76">
        <f t="shared" ref="H6:H10" si="4">G6-D6</f>
        <v>-112605</v>
      </c>
      <c r="I6" s="132">
        <f t="shared" si="2"/>
        <v>-1.9408514719911889E-2</v>
      </c>
      <c r="J6" s="138" t="s">
        <v>383</v>
      </c>
      <c r="K6" s="136">
        <v>-0.03</v>
      </c>
      <c r="L6" s="136">
        <v>-0.01</v>
      </c>
      <c r="M6" s="136">
        <v>0.01</v>
      </c>
      <c r="N6" s="76"/>
      <c r="O6" s="196" t="s">
        <v>410</v>
      </c>
      <c r="P6" s="90" t="s">
        <v>411</v>
      </c>
    </row>
    <row r="7" spans="2:16" ht="62.4" customHeight="1" x14ac:dyDescent="0.3">
      <c r="B7" s="20" t="s">
        <v>370</v>
      </c>
      <c r="C7" s="75">
        <f>SEGMENT!C7</f>
        <v>409955</v>
      </c>
      <c r="D7" s="75">
        <f>SEGMENT!D7</f>
        <v>1935389</v>
      </c>
      <c r="E7" s="77">
        <f t="shared" si="0"/>
        <v>1525434</v>
      </c>
      <c r="F7" s="133">
        <f t="shared" si="1"/>
        <v>3.7209791318559353</v>
      </c>
      <c r="G7" s="75">
        <f>SEGMENT!E7</f>
        <v>3780801</v>
      </c>
      <c r="H7" s="77">
        <f t="shared" si="4"/>
        <v>1845412</v>
      </c>
      <c r="I7" s="133">
        <f t="shared" si="2"/>
        <v>0.95350960452911537</v>
      </c>
      <c r="J7" s="82" t="str">
        <f t="shared" si="3"/>
        <v>Accelerating</v>
      </c>
      <c r="K7" s="135">
        <v>0.35</v>
      </c>
      <c r="L7" s="135">
        <v>0.5</v>
      </c>
      <c r="M7" s="135">
        <v>0.75</v>
      </c>
      <c r="N7" s="77"/>
      <c r="O7" s="86" t="s">
        <v>412</v>
      </c>
      <c r="P7" s="195" t="s">
        <v>413</v>
      </c>
    </row>
    <row r="8" spans="2:16" ht="49.2" customHeight="1" x14ac:dyDescent="0.3">
      <c r="B8" s="23" t="s">
        <v>371</v>
      </c>
      <c r="C8" s="74">
        <f>SEGMENT!C8</f>
        <v>0</v>
      </c>
      <c r="D8" s="74">
        <f>SEGMENT!D8</f>
        <v>621871</v>
      </c>
      <c r="E8" s="76">
        <f t="shared" si="0"/>
        <v>621871</v>
      </c>
      <c r="F8" s="132" t="str">
        <f t="shared" si="1"/>
        <v>n.a</v>
      </c>
      <c r="G8" s="74">
        <f>SEGMENT!E8</f>
        <v>819724</v>
      </c>
      <c r="H8" s="76">
        <f t="shared" si="4"/>
        <v>197853</v>
      </c>
      <c r="I8" s="132">
        <f t="shared" si="2"/>
        <v>0.31815762433044797</v>
      </c>
      <c r="J8" s="81" t="str">
        <f t="shared" si="3"/>
        <v>Accelerating</v>
      </c>
      <c r="K8" s="136">
        <v>0.15</v>
      </c>
      <c r="L8" s="136">
        <v>0.22</v>
      </c>
      <c r="M8" s="136">
        <v>0.3</v>
      </c>
      <c r="N8" s="76"/>
      <c r="O8" s="87" t="s">
        <v>414</v>
      </c>
      <c r="P8" s="90" t="s">
        <v>415</v>
      </c>
    </row>
    <row r="9" spans="2:16" ht="52.2" customHeight="1" x14ac:dyDescent="0.3">
      <c r="B9" s="20" t="s">
        <v>372</v>
      </c>
      <c r="C9" s="75">
        <f>SEGMENT!C9</f>
        <v>2195135</v>
      </c>
      <c r="D9" s="75">
        <f>SEGMENT!D9</f>
        <v>554997</v>
      </c>
      <c r="E9" s="77">
        <f t="shared" si="0"/>
        <v>-1640138</v>
      </c>
      <c r="F9" s="133">
        <f t="shared" si="1"/>
        <v>-0.74716953626997884</v>
      </c>
      <c r="G9" s="75">
        <f>SEGMENT!E9</f>
        <v>533268</v>
      </c>
      <c r="H9" s="77">
        <f t="shared" si="4"/>
        <v>-21729</v>
      </c>
      <c r="I9" s="133">
        <f t="shared" si="2"/>
        <v>-3.9151562981421521E-2</v>
      </c>
      <c r="J9" s="139" t="s">
        <v>383</v>
      </c>
      <c r="K9" s="135">
        <v>-0.05</v>
      </c>
      <c r="L9" s="141">
        <v>0</v>
      </c>
      <c r="M9" s="135">
        <v>0.05</v>
      </c>
      <c r="N9" s="77"/>
      <c r="O9" s="88" t="s">
        <v>416</v>
      </c>
      <c r="P9" s="195" t="s">
        <v>417</v>
      </c>
    </row>
    <row r="10" spans="2:16" ht="63" customHeight="1" x14ac:dyDescent="0.3">
      <c r="B10" s="23" t="s">
        <v>373</v>
      </c>
      <c r="C10" s="74">
        <f>SEGMENT!C10</f>
        <v>1384231</v>
      </c>
      <c r="D10" s="74">
        <f>SEGMENT!D10</f>
        <v>1635386</v>
      </c>
      <c r="E10" s="76">
        <f t="shared" si="0"/>
        <v>251155</v>
      </c>
      <c r="F10" s="132">
        <f t="shared" si="1"/>
        <v>0.18144009200776459</v>
      </c>
      <c r="G10" s="74">
        <f>SEGMENT!E10</f>
        <v>1719888</v>
      </c>
      <c r="H10" s="76">
        <f t="shared" si="4"/>
        <v>84502</v>
      </c>
      <c r="I10" s="132">
        <f t="shared" si="2"/>
        <v>5.1670981652038109E-2</v>
      </c>
      <c r="J10" s="81" t="str">
        <f t="shared" si="3"/>
        <v>Accelerating</v>
      </c>
      <c r="K10" s="136">
        <v>0.02</v>
      </c>
      <c r="L10" s="136">
        <v>0.05</v>
      </c>
      <c r="M10" s="136">
        <v>7.0000000000000007E-2</v>
      </c>
      <c r="N10" s="76"/>
      <c r="O10" s="87" t="s">
        <v>419</v>
      </c>
      <c r="P10" s="90" t="s">
        <v>418</v>
      </c>
    </row>
    <row r="11" spans="2:16" ht="15" customHeight="1" x14ac:dyDescent="0.3">
      <c r="B11" s="20"/>
      <c r="C11" s="77"/>
      <c r="D11" s="79"/>
      <c r="E11" s="78"/>
      <c r="F11" s="78"/>
      <c r="G11" s="77"/>
      <c r="H11" s="78"/>
      <c r="I11" s="78"/>
      <c r="J11" s="82"/>
      <c r="K11" s="77"/>
      <c r="L11" s="77"/>
      <c r="M11" s="77"/>
      <c r="N11" s="77"/>
      <c r="O11" s="77"/>
      <c r="P11" s="22"/>
    </row>
    <row r="12" spans="2:16" ht="15" customHeight="1" x14ac:dyDescent="0.3">
      <c r="B12" s="208" t="s">
        <v>367</v>
      </c>
      <c r="C12" s="208"/>
      <c r="D12" s="208"/>
      <c r="E12" s="208"/>
      <c r="F12" s="208"/>
      <c r="G12" s="208"/>
      <c r="H12" s="208"/>
      <c r="I12" s="208"/>
      <c r="J12" s="208"/>
      <c r="K12" s="208"/>
      <c r="L12" s="208"/>
      <c r="M12" s="208"/>
      <c r="N12" s="208"/>
      <c r="O12" s="208"/>
      <c r="P12" s="208"/>
    </row>
    <row r="13" spans="2:16" ht="15" customHeight="1" x14ac:dyDescent="0.3">
      <c r="B13" s="17" t="s">
        <v>38</v>
      </c>
      <c r="C13" s="17" t="s">
        <v>358</v>
      </c>
      <c r="D13" s="17" t="s">
        <v>359</v>
      </c>
      <c r="E13" s="17" t="s">
        <v>360</v>
      </c>
      <c r="F13" s="17" t="s">
        <v>375</v>
      </c>
      <c r="G13" s="17" t="s">
        <v>361</v>
      </c>
      <c r="H13" s="17" t="s">
        <v>362</v>
      </c>
      <c r="I13" s="17" t="s">
        <v>376</v>
      </c>
      <c r="J13" s="17" t="s">
        <v>307</v>
      </c>
      <c r="K13" s="17" t="s">
        <v>363</v>
      </c>
      <c r="L13" s="17" t="s">
        <v>364</v>
      </c>
      <c r="M13" s="17" t="s">
        <v>365</v>
      </c>
      <c r="N13" s="89"/>
      <c r="O13" s="197" t="s">
        <v>420</v>
      </c>
      <c r="P13" s="51" t="s">
        <v>366</v>
      </c>
    </row>
    <row r="14" spans="2:16" ht="15" customHeight="1" x14ac:dyDescent="0.3">
      <c r="B14" s="8" t="s">
        <v>62</v>
      </c>
      <c r="C14" s="18"/>
      <c r="D14" s="18"/>
      <c r="E14" s="18"/>
      <c r="F14" s="18"/>
      <c r="G14" s="18"/>
      <c r="H14" s="18"/>
      <c r="I14" s="18"/>
      <c r="J14" s="83"/>
      <c r="K14" s="18"/>
      <c r="L14" s="18"/>
      <c r="M14" s="18"/>
      <c r="N14" s="18"/>
      <c r="O14" s="18"/>
      <c r="P14" s="19"/>
    </row>
    <row r="15" spans="2:16" ht="66" x14ac:dyDescent="0.3">
      <c r="B15" s="20" t="s">
        <v>63</v>
      </c>
      <c r="C15" s="75">
        <f>IS!D7</f>
        <v>-5093179</v>
      </c>
      <c r="D15" s="75">
        <f>IS!E7</f>
        <v>-7413392</v>
      </c>
      <c r="E15" s="77">
        <f>D15-C15</f>
        <v>-2320213</v>
      </c>
      <c r="F15" s="133">
        <f t="shared" ref="F15:F20" si="5">IF(C15=0, "n.a",E15/C15)</f>
        <v>0.45555300530376019</v>
      </c>
      <c r="G15" s="75">
        <f>IS!F7</f>
        <v>-7746034</v>
      </c>
      <c r="H15" s="77">
        <f>G15-D15</f>
        <v>-332642</v>
      </c>
      <c r="I15" s="133">
        <f t="shared" ref="I15:I20" si="6">IF(D15=0, "n.a", H15/D15)</f>
        <v>4.4870418291653807E-2</v>
      </c>
      <c r="J15" s="82" t="str">
        <f>IF(OR(D15="", G15=""), "",
   IF(AND(D15&lt;0, G15&lt;0, G15&gt;D15), "Decelerating",
      IF(AND(D15&lt;0, G15&lt;0, G15&lt;D15), "Accelerating",
         IF(AND(D15&gt;=0, G15&gt;=0, G15&gt;D15), "Decelerating",
            IF(AND(D15&gt;=0, G15&gt;=0, G15&lt;D15), "Accelerating",
               IF(ABS(G15-D15)&lt;0.01, "Stable",
                  "Structural Break"))))))</f>
        <v>Accelerating</v>
      </c>
      <c r="K15" s="135">
        <v>5.5E-2</v>
      </c>
      <c r="L15" s="135">
        <v>0.05</v>
      </c>
      <c r="M15" s="135">
        <v>4.4999999999999998E-2</v>
      </c>
      <c r="N15" s="77"/>
      <c r="O15" s="88" t="s">
        <v>421</v>
      </c>
      <c r="P15" s="198" t="s">
        <v>422</v>
      </c>
    </row>
    <row r="16" spans="2:16" ht="63.6" customHeight="1" x14ac:dyDescent="0.3">
      <c r="B16" s="23" t="s">
        <v>65</v>
      </c>
      <c r="C16" s="74">
        <f>IS!D8</f>
        <v>-5647458</v>
      </c>
      <c r="D16" s="74">
        <f>IS!E8</f>
        <v>-4396253</v>
      </c>
      <c r="E16" s="76">
        <f t="shared" ref="E16:E20" si="7">D16-C16</f>
        <v>1251205</v>
      </c>
      <c r="F16" s="132">
        <f t="shared" si="5"/>
        <v>-0.22155189113402879</v>
      </c>
      <c r="G16" s="74">
        <f>IS!F8</f>
        <v>-3988925</v>
      </c>
      <c r="H16" s="76">
        <f t="shared" ref="H16:H20" si="8">G16-D16</f>
        <v>407328</v>
      </c>
      <c r="I16" s="132">
        <f t="shared" si="6"/>
        <v>-9.2653448288804119E-2</v>
      </c>
      <c r="J16" s="81" t="str">
        <f t="shared" ref="J16:J20" si="9">IF(OR(D16="", G16=""), "",
   IF(AND(D16&lt;0, G16&lt;0, G16&gt;D16), "Decelerating",
      IF(AND(D16&lt;0, G16&lt;0, G16&lt;D16), "Accelerating",
         IF(AND(D16&gt;=0, G16&gt;=0, G16&gt;D16), "Decelerating",
            IF(AND(D16&gt;=0, G16&gt;=0, G16&lt;D16), "Accelerating",
               IF(ABS(G16-D16)&lt;0.01, "Stable",
                  "Structural Break"))))))</f>
        <v>Decelerating</v>
      </c>
      <c r="K16" s="136">
        <v>0.04</v>
      </c>
      <c r="L16" s="136">
        <v>0.02</v>
      </c>
      <c r="M16" s="136">
        <v>0.01</v>
      </c>
      <c r="N16" s="76"/>
      <c r="O16" s="87" t="s">
        <v>423</v>
      </c>
      <c r="P16" s="199" t="s">
        <v>424</v>
      </c>
    </row>
    <row r="17" spans="2:16" ht="89.4" customHeight="1" x14ac:dyDescent="0.3">
      <c r="B17" s="20" t="s">
        <v>66</v>
      </c>
      <c r="C17" s="75">
        <f>IS!D9</f>
        <v>-6430776</v>
      </c>
      <c r="D17" s="75">
        <f>IS!E9</f>
        <v>-2849934</v>
      </c>
      <c r="E17" s="77">
        <f t="shared" si="7"/>
        <v>3580842</v>
      </c>
      <c r="F17" s="133">
        <f t="shared" si="5"/>
        <v>-0.55682891147195923</v>
      </c>
      <c r="G17" s="75">
        <f>IS!F9</f>
        <v>-3090124</v>
      </c>
      <c r="H17" s="77">
        <f t="shared" si="8"/>
        <v>-240190</v>
      </c>
      <c r="I17" s="133">
        <f t="shared" si="6"/>
        <v>8.427914471001785E-2</v>
      </c>
      <c r="J17" s="82" t="str">
        <f t="shared" si="9"/>
        <v>Accelerating</v>
      </c>
      <c r="K17" s="135">
        <v>8.5000000000000006E-2</v>
      </c>
      <c r="L17" s="135">
        <v>0.09</v>
      </c>
      <c r="M17" s="135">
        <v>0.1</v>
      </c>
      <c r="N17" s="77"/>
      <c r="O17" s="88" t="s">
        <v>426</v>
      </c>
      <c r="P17" s="198" t="s">
        <v>425</v>
      </c>
    </row>
    <row r="18" spans="2:16" ht="71.400000000000006" customHeight="1" x14ac:dyDescent="0.3">
      <c r="B18" s="80" t="s">
        <v>374</v>
      </c>
      <c r="C18" s="74">
        <f>IS!D10</f>
        <v>-3517369</v>
      </c>
      <c r="D18" s="74">
        <f>IS!E10</f>
        <v>-1756068</v>
      </c>
      <c r="E18" s="76">
        <f t="shared" si="7"/>
        <v>1761301</v>
      </c>
      <c r="F18" s="132">
        <f t="shared" si="5"/>
        <v>-0.50074387987157443</v>
      </c>
      <c r="G18" s="74">
        <f>IS!F10</f>
        <v>-2152272</v>
      </c>
      <c r="H18" s="76">
        <f t="shared" si="8"/>
        <v>-396204</v>
      </c>
      <c r="I18" s="132">
        <f t="shared" si="6"/>
        <v>0.22561996460273748</v>
      </c>
      <c r="J18" s="81" t="str">
        <f t="shared" si="9"/>
        <v>Accelerating</v>
      </c>
      <c r="K18" s="136">
        <v>0.12</v>
      </c>
      <c r="L18" s="136">
        <v>0.16</v>
      </c>
      <c r="M18" s="136">
        <v>0.25</v>
      </c>
      <c r="N18" s="76"/>
      <c r="O18" s="87" t="s">
        <v>427</v>
      </c>
      <c r="P18" s="199" t="s">
        <v>428</v>
      </c>
    </row>
    <row r="19" spans="2:16" ht="66" x14ac:dyDescent="0.3">
      <c r="B19" s="20" t="s">
        <v>68</v>
      </c>
      <c r="C19" s="75">
        <f>IS!D11</f>
        <v>-1704532</v>
      </c>
      <c r="D19" s="75">
        <f>IS!E11</f>
        <v>-975514</v>
      </c>
      <c r="E19" s="77">
        <f t="shared" si="7"/>
        <v>729018</v>
      </c>
      <c r="F19" s="133">
        <f t="shared" si="5"/>
        <v>-0.42769393593080096</v>
      </c>
      <c r="G19" s="75">
        <f>IS!F11</f>
        <v>-974464</v>
      </c>
      <c r="H19" s="77">
        <f t="shared" si="8"/>
        <v>1050</v>
      </c>
      <c r="I19" s="133">
        <f t="shared" si="6"/>
        <v>-1.0763556443064888E-3</v>
      </c>
      <c r="J19" s="82" t="str">
        <f t="shared" si="9"/>
        <v>Decelerating</v>
      </c>
      <c r="K19" s="135">
        <v>0.02</v>
      </c>
      <c r="L19" s="135">
        <v>0.01</v>
      </c>
      <c r="M19" s="135">
        <v>1E-3</v>
      </c>
      <c r="N19" s="77"/>
      <c r="O19" s="88" t="s">
        <v>429</v>
      </c>
      <c r="P19" s="198" t="s">
        <v>430</v>
      </c>
    </row>
    <row r="20" spans="2:16" ht="34.200000000000003" x14ac:dyDescent="0.3">
      <c r="B20" s="23" t="s">
        <v>69</v>
      </c>
      <c r="C20" s="74">
        <f>IS!D12</f>
        <v>-2671148</v>
      </c>
      <c r="D20" s="74">
        <f>IS!E12</f>
        <v>-744175</v>
      </c>
      <c r="E20" s="76">
        <f t="shared" si="7"/>
        <v>1926973</v>
      </c>
      <c r="F20" s="132">
        <f t="shared" si="5"/>
        <v>-0.72140255800127884</v>
      </c>
      <c r="G20" s="74">
        <f>IS!F12</f>
        <v>-748552</v>
      </c>
      <c r="H20" s="76">
        <f t="shared" si="8"/>
        <v>-4377</v>
      </c>
      <c r="I20" s="132">
        <f t="shared" si="6"/>
        <v>5.8816810562031781E-3</v>
      </c>
      <c r="J20" s="81" t="str">
        <f t="shared" si="9"/>
        <v>Accelerating</v>
      </c>
      <c r="K20" s="140">
        <v>0</v>
      </c>
      <c r="L20" s="140">
        <v>0</v>
      </c>
      <c r="M20" s="140">
        <v>0</v>
      </c>
      <c r="N20" s="76"/>
      <c r="O20" s="87" t="s">
        <v>382</v>
      </c>
      <c r="P20" s="199" t="s">
        <v>431</v>
      </c>
    </row>
    <row r="21" spans="2:16" ht="15" customHeight="1" x14ac:dyDescent="0.3">
      <c r="B21" s="44"/>
      <c r="C21" s="45"/>
      <c r="D21" s="45"/>
      <c r="E21" s="45"/>
      <c r="F21" s="45"/>
      <c r="G21" s="45"/>
      <c r="H21" s="45"/>
      <c r="I21" s="45"/>
      <c r="J21" s="84"/>
      <c r="K21" s="45"/>
      <c r="L21" s="45"/>
      <c r="M21" s="45"/>
      <c r="N21" s="45"/>
      <c r="O21" s="45"/>
      <c r="P21" s="73"/>
    </row>
    <row r="22" spans="2:16" ht="15" customHeight="1" x14ac:dyDescent="0.3">
      <c r="B22" s="208" t="s">
        <v>380</v>
      </c>
      <c r="C22" s="208"/>
      <c r="D22" s="208"/>
      <c r="E22" s="208"/>
      <c r="F22" s="208"/>
      <c r="G22" s="208"/>
      <c r="H22" s="208"/>
      <c r="I22" s="208"/>
      <c r="J22" s="208"/>
      <c r="K22" s="208"/>
      <c r="L22" s="208"/>
      <c r="M22" s="208"/>
      <c r="N22" s="208"/>
      <c r="O22" s="208"/>
      <c r="P22" s="208"/>
    </row>
    <row r="23" spans="2:16" ht="15" customHeight="1" x14ac:dyDescent="0.3">
      <c r="B23" s="17" t="s">
        <v>38</v>
      </c>
      <c r="C23" s="17" t="s">
        <v>358</v>
      </c>
      <c r="D23" s="17" t="s">
        <v>359</v>
      </c>
      <c r="E23" s="17" t="s">
        <v>360</v>
      </c>
      <c r="F23" s="17" t="s">
        <v>375</v>
      </c>
      <c r="G23" s="17" t="s">
        <v>361</v>
      </c>
      <c r="H23" s="17" t="s">
        <v>362</v>
      </c>
      <c r="I23" s="17" t="s">
        <v>376</v>
      </c>
      <c r="J23" s="17" t="s">
        <v>307</v>
      </c>
      <c r="K23" s="17" t="s">
        <v>363</v>
      </c>
      <c r="L23" s="17" t="s">
        <v>364</v>
      </c>
      <c r="M23" s="17" t="s">
        <v>365</v>
      </c>
      <c r="N23" s="89"/>
      <c r="O23" s="197" t="s">
        <v>420</v>
      </c>
      <c r="P23" s="51" t="s">
        <v>366</v>
      </c>
    </row>
    <row r="24" spans="2:16" ht="15" customHeight="1" x14ac:dyDescent="0.3">
      <c r="B24" s="8" t="s">
        <v>72</v>
      </c>
      <c r="C24" s="18"/>
      <c r="D24" s="18"/>
      <c r="E24" s="18"/>
      <c r="F24" s="18"/>
      <c r="G24" s="18"/>
      <c r="H24" s="18"/>
      <c r="I24" s="18"/>
      <c r="J24" s="83"/>
      <c r="K24" s="18"/>
      <c r="L24" s="18"/>
      <c r="M24" s="18"/>
      <c r="N24" s="18"/>
      <c r="O24" s="18"/>
      <c r="P24" s="19"/>
    </row>
    <row r="25" spans="2:16" ht="52.8" x14ac:dyDescent="0.3">
      <c r="B25" s="20" t="s">
        <v>73</v>
      </c>
      <c r="C25" s="75">
        <f>IS!D18</f>
        <v>635780</v>
      </c>
      <c r="D25" s="75">
        <f>IS!E18</f>
        <v>736449</v>
      </c>
      <c r="E25" s="77">
        <f>D25-C25</f>
        <v>100669</v>
      </c>
      <c r="F25" s="133">
        <f t="shared" ref="F25:F30" si="10">IF(C25=0, "n.a",E25/C25)</f>
        <v>0.15833936267262261</v>
      </c>
      <c r="G25" s="75">
        <f>IS!F18</f>
        <v>573105</v>
      </c>
      <c r="H25" s="77">
        <f>G25-D25</f>
        <v>-163344</v>
      </c>
      <c r="I25" s="133">
        <f t="shared" ref="I25:I30" si="11">IF(D25=0, "n.a", H25/D25)</f>
        <v>-0.22179947287592217</v>
      </c>
      <c r="J25" s="82" t="str">
        <f>IF(OR(D25="", G25=""), "",
   IF(AND(D25&lt;0, G25&lt;0, G25&gt;D25), "Decelerating",
      IF(AND(D25&lt;0, G25&lt;0, G25&lt;D25), "Accelerating",
         IF(AND(D25&gt;=0, G25&gt;=0, G25&gt;D25), "Decelerating",
            IF(AND(D25&gt;=0, G25&gt;=0, G25&lt;D25), "Accelerating",
               IF(ABS(G25-D25)&lt;0.01, "Stable",
                  "Structural Break"))))))</f>
        <v>Accelerating</v>
      </c>
      <c r="K25" s="142">
        <v>0</v>
      </c>
      <c r="L25" s="142">
        <v>0.05</v>
      </c>
      <c r="M25" s="142">
        <v>0.1</v>
      </c>
      <c r="N25" s="77"/>
      <c r="O25" s="201" t="s">
        <v>434</v>
      </c>
      <c r="P25" s="198" t="s">
        <v>433</v>
      </c>
    </row>
    <row r="26" spans="2:16" ht="48" customHeight="1" x14ac:dyDescent="0.3">
      <c r="B26" s="23" t="s">
        <v>75</v>
      </c>
      <c r="C26" s="74">
        <f>IS!D19</f>
        <v>-369285</v>
      </c>
      <c r="D26" s="74">
        <f>IS!E19</f>
        <v>-494053</v>
      </c>
      <c r="E26" s="76">
        <f t="shared" ref="E26:E30" si="12">D26-C26</f>
        <v>-124768</v>
      </c>
      <c r="F26" s="132">
        <f t="shared" si="10"/>
        <v>0.33786370960098566</v>
      </c>
      <c r="G26" s="74">
        <f>IS!F19</f>
        <v>-535152</v>
      </c>
      <c r="H26" s="76">
        <f t="shared" ref="H26:H30" si="13">G26-D26</f>
        <v>-41099</v>
      </c>
      <c r="I26" s="132">
        <f t="shared" si="11"/>
        <v>8.3187431307977081E-2</v>
      </c>
      <c r="J26" s="81" t="str">
        <f t="shared" ref="J26:J30" si="14">IF(OR(D26="", G26=""), "",
   IF(AND(D26&lt;0, G26&lt;0, G26&gt;D26), "Decelerating",
      IF(AND(D26&lt;0, G26&lt;0, G26&lt;D26), "Accelerating",
         IF(AND(D26&gt;=0, G26&gt;=0, G26&gt;D26), "Decelerating",
            IF(AND(D26&gt;=0, G26&gt;=0, G26&lt;D26), "Accelerating",
               IF(ABS(G26-D26)&lt;0.01, "Stable",
                  "Structural Break"))))))</f>
        <v>Accelerating</v>
      </c>
      <c r="K26" s="142">
        <v>0.08</v>
      </c>
      <c r="L26" s="143">
        <v>0.05</v>
      </c>
      <c r="M26" s="142">
        <v>0.02</v>
      </c>
      <c r="N26" s="76"/>
      <c r="O26" s="202" t="s">
        <v>435</v>
      </c>
      <c r="P26" s="199" t="s">
        <v>436</v>
      </c>
    </row>
    <row r="27" spans="2:16" x14ac:dyDescent="0.3">
      <c r="B27" s="20" t="s">
        <v>77</v>
      </c>
      <c r="C27" s="75">
        <f>IS!D20</f>
        <v>-174214</v>
      </c>
      <c r="D27" s="75">
        <f>IS!E20</f>
        <v>289924</v>
      </c>
      <c r="E27" s="77">
        <f t="shared" si="12"/>
        <v>464138</v>
      </c>
      <c r="F27" s="133">
        <f t="shared" si="10"/>
        <v>-2.664183131091646</v>
      </c>
      <c r="G27" s="75">
        <f>IS!F20</f>
        <v>111862</v>
      </c>
      <c r="H27" s="77">
        <f t="shared" si="13"/>
        <v>-178062</v>
      </c>
      <c r="I27" s="133">
        <f t="shared" si="11"/>
        <v>-0.61416785088505954</v>
      </c>
      <c r="J27" s="82" t="str">
        <f t="shared" si="14"/>
        <v>Accelerating</v>
      </c>
      <c r="K27" s="142">
        <v>0</v>
      </c>
      <c r="L27" s="142">
        <v>0</v>
      </c>
      <c r="M27" s="142">
        <v>0</v>
      </c>
      <c r="N27" s="77"/>
      <c r="O27" s="88" t="s">
        <v>440</v>
      </c>
      <c r="P27" s="198"/>
    </row>
    <row r="28" spans="2:16" x14ac:dyDescent="0.3">
      <c r="B28" s="80" t="s">
        <v>381</v>
      </c>
      <c r="C28" s="74">
        <f>IS!D21</f>
        <v>-373204</v>
      </c>
      <c r="D28" s="74">
        <f>IS!E21</f>
        <v>-308114</v>
      </c>
      <c r="E28" s="76">
        <f t="shared" si="12"/>
        <v>65090</v>
      </c>
      <c r="F28" s="132">
        <f t="shared" si="10"/>
        <v>-0.17440863441978113</v>
      </c>
      <c r="G28" s="74">
        <f>IS!F21</f>
        <v>-356830</v>
      </c>
      <c r="H28" s="76">
        <f t="shared" si="13"/>
        <v>-48716</v>
      </c>
      <c r="I28" s="132">
        <f t="shared" si="11"/>
        <v>0.15811030982039115</v>
      </c>
      <c r="J28" s="81" t="str">
        <f t="shared" si="14"/>
        <v>Accelerating</v>
      </c>
      <c r="K28" s="142">
        <v>0</v>
      </c>
      <c r="L28" s="143">
        <v>0</v>
      </c>
      <c r="M28" s="142">
        <v>0</v>
      </c>
      <c r="N28" s="76"/>
      <c r="O28" s="200" t="s">
        <v>441</v>
      </c>
      <c r="P28" s="199"/>
    </row>
    <row r="29" spans="2:16" x14ac:dyDescent="0.3">
      <c r="B29" s="20" t="s">
        <v>80</v>
      </c>
      <c r="C29" s="75">
        <f>IS!D22</f>
        <v>-78767510</v>
      </c>
      <c r="D29" s="75">
        <f>IS!E22</f>
        <v>-24421</v>
      </c>
      <c r="E29" s="77">
        <f t="shared" si="12"/>
        <v>78743089</v>
      </c>
      <c r="F29" s="133">
        <f t="shared" si="10"/>
        <v>-0.99968996100041752</v>
      </c>
      <c r="G29" s="75">
        <f>IS!F22</f>
        <v>-217133</v>
      </c>
      <c r="H29" s="77">
        <f t="shared" si="13"/>
        <v>-192712</v>
      </c>
      <c r="I29" s="133">
        <f t="shared" si="11"/>
        <v>7.8912411449162603</v>
      </c>
      <c r="J29" s="82" t="str">
        <f t="shared" si="14"/>
        <v>Accelerating</v>
      </c>
      <c r="K29" s="142">
        <v>0</v>
      </c>
      <c r="L29" s="142">
        <v>0</v>
      </c>
      <c r="M29" s="142">
        <v>0</v>
      </c>
      <c r="N29" s="77"/>
      <c r="O29" s="88" t="s">
        <v>441</v>
      </c>
      <c r="P29" s="198"/>
    </row>
    <row r="30" spans="2:16" x14ac:dyDescent="0.3">
      <c r="B30" s="23" t="s">
        <v>81</v>
      </c>
      <c r="C30" s="74">
        <f>IS!D23</f>
        <v>-51625</v>
      </c>
      <c r="D30" s="74">
        <f>IS!E23</f>
        <v>-126718</v>
      </c>
      <c r="E30" s="76">
        <f t="shared" si="12"/>
        <v>-75093</v>
      </c>
      <c r="F30" s="132">
        <f t="shared" si="10"/>
        <v>1.4545859564164649</v>
      </c>
      <c r="G30" s="74">
        <f>IS!F23</f>
        <v>0</v>
      </c>
      <c r="H30" s="76">
        <f t="shared" si="13"/>
        <v>126718</v>
      </c>
      <c r="I30" s="132">
        <f t="shared" si="11"/>
        <v>-1</v>
      </c>
      <c r="J30" s="81" t="str">
        <f t="shared" si="14"/>
        <v>Structural Break</v>
      </c>
      <c r="K30" s="142">
        <v>0</v>
      </c>
      <c r="L30" s="143">
        <v>0</v>
      </c>
      <c r="M30" s="142">
        <v>0</v>
      </c>
      <c r="N30" s="76"/>
      <c r="O30" s="200" t="s">
        <v>441</v>
      </c>
      <c r="P30" s="199"/>
    </row>
    <row r="31" spans="2:16" ht="15" customHeight="1" x14ac:dyDescent="0.3">
      <c r="B31" s="44" t="s">
        <v>82</v>
      </c>
      <c r="C31" s="75">
        <f>IS!D24</f>
        <v>-991570</v>
      </c>
      <c r="D31" s="75">
        <f>IS!E24</f>
        <v>-482134</v>
      </c>
      <c r="E31" s="77">
        <f t="shared" ref="E31" si="15">D31-C31</f>
        <v>509436</v>
      </c>
      <c r="F31" s="133">
        <f t="shared" ref="F31" si="16">IF(C31=0, "n.a",E31/C31)</f>
        <v>-0.51376705628447816</v>
      </c>
      <c r="G31" s="75">
        <f>IS!F24</f>
        <v>-596703</v>
      </c>
      <c r="H31" s="77">
        <f t="shared" ref="H31" si="17">G31-D31</f>
        <v>-114569</v>
      </c>
      <c r="I31" s="133">
        <f t="shared" ref="I31" si="18">IF(D31=0, "n.a", H31/D31)</f>
        <v>0.2376289579245604</v>
      </c>
      <c r="J31" s="82" t="str">
        <f t="shared" ref="J31" si="19">IF(OR(D31="", G31=""), "",
   IF(AND(D31&lt;0, G31&lt;0, G31&gt;D31), "Decelerating",
      IF(AND(D31&lt;0, G31&lt;0, G31&lt;D31), "Accelerating",
         IF(AND(D31&gt;=0, G31&gt;=0, G31&gt;D31), "Decelerating",
            IF(AND(D31&gt;=0, G31&gt;=0, G31&lt;D31), "Accelerating",
               IF(ABS(G31-D31)&lt;0.01, "Stable",
                  "Structural Break"))))))</f>
        <v>Accelerating</v>
      </c>
      <c r="K31" s="142">
        <v>0</v>
      </c>
      <c r="L31" s="142">
        <v>0</v>
      </c>
      <c r="M31" s="142">
        <v>0</v>
      </c>
      <c r="N31" s="77"/>
      <c r="O31" s="88" t="s">
        <v>440</v>
      </c>
      <c r="P31" s="198"/>
    </row>
    <row r="32" spans="2:16" ht="47.4" customHeight="1" x14ac:dyDescent="0.3">
      <c r="B32" s="130" t="s">
        <v>83</v>
      </c>
      <c r="C32" s="74">
        <f>IS!D25</f>
        <v>-211826</v>
      </c>
      <c r="D32" s="74">
        <f>IS!E25</f>
        <v>-2305125</v>
      </c>
      <c r="E32" s="76">
        <f t="shared" ref="E32:E33" si="20">D32-C32</f>
        <v>-2093299</v>
      </c>
      <c r="F32" s="132">
        <f t="shared" ref="F32:F33" si="21">IF(C32=0, "n.a",E32/C32)</f>
        <v>9.882162718457602</v>
      </c>
      <c r="G32" s="74">
        <f>IS!F25</f>
        <v>249100</v>
      </c>
      <c r="H32" s="76">
        <f t="shared" ref="H32:H33" si="22">G32-D32</f>
        <v>2554225</v>
      </c>
      <c r="I32" s="132">
        <f t="shared" ref="I32:I33" si="23">IF(D32=0, "n.a", H32/D32)</f>
        <v>-1.1080635540371997</v>
      </c>
      <c r="J32" s="81" t="str">
        <f t="shared" ref="J32:J33" si="24">IF(OR(D32="", G32=""), "",
   IF(AND(D32&lt;0, G32&lt;0, G32&gt;D32), "Decelerating",
      IF(AND(D32&lt;0, G32&lt;0, G32&lt;D32), "Accelerating",
         IF(AND(D32&gt;=0, G32&gt;=0, G32&gt;D32), "Decelerating",
            IF(AND(D32&gt;=0, G32&gt;=0, G32&lt;D32), "Accelerating",
               IF(ABS(G32-D32)&lt;0.01, "Stable",
                  "Structural Break"))))))</f>
        <v>Structural Break</v>
      </c>
      <c r="K32" s="142">
        <v>0</v>
      </c>
      <c r="L32" s="143">
        <v>0.1</v>
      </c>
      <c r="M32" s="142">
        <v>0.2</v>
      </c>
      <c r="N32" s="76"/>
      <c r="O32" s="87" t="s">
        <v>432</v>
      </c>
      <c r="P32" s="199" t="s">
        <v>437</v>
      </c>
    </row>
    <row r="33" spans="2:16" ht="45" customHeight="1" x14ac:dyDescent="0.3">
      <c r="B33" s="131" t="s">
        <v>84</v>
      </c>
      <c r="C33" s="74">
        <f>IS!D26</f>
        <v>-51994</v>
      </c>
      <c r="D33" s="74">
        <f>IS!E26</f>
        <v>-320764</v>
      </c>
      <c r="E33" s="76">
        <f t="shared" si="20"/>
        <v>-268770</v>
      </c>
      <c r="F33" s="132">
        <f t="shared" si="21"/>
        <v>5.1692502981113204</v>
      </c>
      <c r="G33" s="74">
        <f>IS!F26</f>
        <v>63401</v>
      </c>
      <c r="H33" s="76">
        <f t="shared" si="22"/>
        <v>384165</v>
      </c>
      <c r="I33" s="132">
        <f t="shared" si="23"/>
        <v>-1.1976562207729047</v>
      </c>
      <c r="J33" s="81" t="str">
        <f t="shared" si="24"/>
        <v>Structural Break</v>
      </c>
      <c r="K33" s="142">
        <v>0</v>
      </c>
      <c r="L33" s="143">
        <v>0.05</v>
      </c>
      <c r="M33" s="142">
        <v>0.1</v>
      </c>
      <c r="N33" s="76"/>
      <c r="O33" s="87" t="s">
        <v>438</v>
      </c>
      <c r="P33" s="199" t="s">
        <v>439</v>
      </c>
    </row>
    <row r="34" spans="2:16" x14ac:dyDescent="0.3">
      <c r="B34" s="145"/>
      <c r="C34" s="146"/>
      <c r="D34" s="146"/>
      <c r="E34" s="146"/>
      <c r="F34" s="146"/>
      <c r="G34" s="146"/>
      <c r="H34" s="146"/>
      <c r="I34" s="146"/>
      <c r="J34" s="147"/>
      <c r="K34" s="146"/>
      <c r="L34" s="146"/>
      <c r="M34" s="146"/>
      <c r="N34" s="146"/>
      <c r="O34" s="146"/>
      <c r="P34" s="146"/>
    </row>
  </sheetData>
  <mergeCells count="4">
    <mergeCell ref="B1:P1"/>
    <mergeCell ref="B3:P3"/>
    <mergeCell ref="B12:P12"/>
    <mergeCell ref="B22:P22"/>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P67"/>
  <sheetViews>
    <sheetView zoomScale="84" zoomScaleNormal="81" workbookViewId="0">
      <pane xSplit="2" ySplit="3" topLeftCell="C4" activePane="bottomRight" state="frozen"/>
      <selection pane="topRight" activeCell="C1" sqref="C1"/>
      <selection pane="bottomLeft" activeCell="A4" sqref="A4"/>
      <selection pane="bottomRight" activeCell="N25" sqref="N25"/>
    </sheetView>
  </sheetViews>
  <sheetFormatPr defaultColWidth="8.6640625" defaultRowHeight="14.4" x14ac:dyDescent="0.3"/>
  <cols>
    <col min="1" max="1" width="3" style="1" customWidth="1"/>
    <col min="2" max="2" width="48" style="1" customWidth="1"/>
    <col min="3" max="3" width="6" style="1" customWidth="1"/>
    <col min="4" max="4" width="17.77734375" style="1" customWidth="1"/>
    <col min="5" max="7" width="16" style="1" customWidth="1"/>
    <col min="8" max="8" width="12.77734375" style="1" customWidth="1"/>
    <col min="9" max="9" width="15.88671875" style="1" customWidth="1"/>
    <col min="10" max="10" width="11.5546875" style="1" customWidth="1"/>
    <col min="11" max="13" width="15.33203125" style="1" bestFit="1" customWidth="1"/>
    <col min="14" max="14" width="46.6640625" style="1" bestFit="1" customWidth="1"/>
  </cols>
  <sheetData>
    <row r="1" spans="2:16" ht="24" customHeight="1" x14ac:dyDescent="0.3">
      <c r="B1" s="209" t="s">
        <v>56</v>
      </c>
      <c r="C1" s="209"/>
      <c r="D1" s="209"/>
      <c r="E1" s="209"/>
      <c r="F1" s="209"/>
      <c r="G1" s="209"/>
      <c r="H1" s="209"/>
      <c r="I1" s="209"/>
      <c r="J1" s="209"/>
      <c r="K1" s="209"/>
      <c r="L1" s="209"/>
      <c r="M1" s="209"/>
      <c r="N1" s="127"/>
    </row>
    <row r="2" spans="2:16" ht="15" customHeight="1" x14ac:dyDescent="0.3">
      <c r="B2" s="214" t="s">
        <v>57</v>
      </c>
      <c r="C2" s="214"/>
      <c r="D2" s="214"/>
      <c r="E2" s="214"/>
      <c r="F2" s="214"/>
      <c r="G2" s="214"/>
      <c r="H2" s="214"/>
      <c r="I2" s="214"/>
      <c r="J2" s="214"/>
      <c r="K2" s="214"/>
      <c r="L2" s="214"/>
      <c r="M2" s="214"/>
      <c r="N2" s="214"/>
    </row>
    <row r="3" spans="2:16" ht="18" customHeight="1" x14ac:dyDescent="0.3">
      <c r="B3" s="17" t="s">
        <v>58</v>
      </c>
      <c r="C3" s="17" t="s">
        <v>59</v>
      </c>
      <c r="D3" s="17" t="s">
        <v>336</v>
      </c>
      <c r="E3" s="17" t="s">
        <v>39</v>
      </c>
      <c r="F3" s="17" t="s">
        <v>40</v>
      </c>
      <c r="G3" s="17" t="s">
        <v>337</v>
      </c>
      <c r="H3" s="17" t="s">
        <v>338</v>
      </c>
      <c r="I3" s="17" t="s">
        <v>339</v>
      </c>
      <c r="J3" s="17" t="s">
        <v>340</v>
      </c>
      <c r="K3" s="51" t="s">
        <v>377</v>
      </c>
      <c r="L3" s="51" t="s">
        <v>378</v>
      </c>
      <c r="M3" s="51" t="s">
        <v>379</v>
      </c>
      <c r="N3" s="51" t="s">
        <v>384</v>
      </c>
    </row>
    <row r="4" spans="2:16" ht="15" customHeight="1" x14ac:dyDescent="0.3">
      <c r="B4" s="94" t="s">
        <v>60</v>
      </c>
      <c r="C4" s="95" t="s">
        <v>61</v>
      </c>
      <c r="D4" s="96">
        <v>14785492</v>
      </c>
      <c r="E4" s="96">
        <v>15894462</v>
      </c>
      <c r="F4" s="96">
        <v>18322117</v>
      </c>
      <c r="G4" s="97">
        <f>E4-D4</f>
        <v>1108970</v>
      </c>
      <c r="H4" s="98">
        <f>G4/D4</f>
        <v>7.5003929527674831E-2</v>
      </c>
      <c r="I4" s="97">
        <f>F4-E4</f>
        <v>2427655</v>
      </c>
      <c r="J4" s="98">
        <f>(I4/E4)</f>
        <v>0.15273590260557418</v>
      </c>
      <c r="K4" s="124">
        <f>(ASSUMPTIONS!$G$5*(1+ASSUMPTIONS!K5))+(ASSUMPTIONS!$G$6*(1+ASSUMPTIONS!K6))+(ASSUMPTIONS!$G$7*(1+ASSUMPTIONS!K7))+(ASSUMPTIONS!$G$8*(1+ASSUMPTIONS!K8))+(ASSUMPTIONS!$G$9*(1+ASSUMPTIONS!K9))+(ASSUMPTIONS!$G$10*(1+ASSUMPTIONS!K10))</f>
        <v>19894373.710000005</v>
      </c>
      <c r="L4" s="124">
        <f>(ASSUMPTIONS!$G$5*(1+ASSUMPTIONS!L5))+(ASSUMPTIONS!$G$6*(1+ASSUMPTIONS!L6))+(ASSUMPTIONS!$G$7*(1+ASSUMPTIONS!L7))+(ASSUMPTIONS!$G$8*(1+ASSUMPTIONS!L8))+(ASSUMPTIONS!$G$9*(1+ASSUMPTIONS!L9))+(ASSUMPTIONS!$G$10*(1+ASSUMPTIONS!L10))</f>
        <v>20855399.329999998</v>
      </c>
      <c r="M4" s="124">
        <f>(ASSUMPTIONS!$G$5*(1+ASSUMPTIONS!M5))+(ASSUMPTIONS!$G$6*(1+ASSUMPTIONS!M6))+(ASSUMPTIONS!$G$7*(1+ASSUMPTIONS!M7))+(ASSUMPTIONS!$G$8*(1+ASSUMPTIONS!M8))+(ASSUMPTIONS!$G$9*(1+ASSUMPTIONS!M9))+(ASSUMPTIONS!$G$10*(1+ASSUMPTIONS!M10))</f>
        <v>22127711.349999998</v>
      </c>
      <c r="N4" s="124"/>
      <c r="P4" s="129"/>
    </row>
    <row r="5" spans="2:16" ht="15" customHeight="1" x14ac:dyDescent="0.3">
      <c r="B5" s="99"/>
      <c r="C5" s="100"/>
      <c r="D5" s="100"/>
      <c r="E5" s="101"/>
      <c r="F5" s="101"/>
      <c r="G5" s="101"/>
      <c r="H5" s="102"/>
      <c r="I5" s="101"/>
      <c r="J5" s="123"/>
      <c r="K5" s="125"/>
      <c r="L5" s="125"/>
      <c r="M5" s="125"/>
      <c r="N5" s="125"/>
    </row>
    <row r="6" spans="2:16" ht="15" customHeight="1" x14ac:dyDescent="0.3">
      <c r="B6" s="103" t="s">
        <v>62</v>
      </c>
      <c r="C6" s="104"/>
      <c r="D6" s="104"/>
      <c r="E6" s="105"/>
      <c r="F6" s="105"/>
      <c r="G6" s="105"/>
      <c r="H6" s="106"/>
      <c r="I6" s="105"/>
      <c r="J6" s="106"/>
      <c r="K6" s="126"/>
      <c r="L6" s="126"/>
      <c r="M6" s="126"/>
      <c r="N6" s="126"/>
    </row>
    <row r="7" spans="2:16" ht="15" customHeight="1" x14ac:dyDescent="0.3">
      <c r="B7" s="107" t="s">
        <v>63</v>
      </c>
      <c r="C7" s="100" t="s">
        <v>64</v>
      </c>
      <c r="D7" s="108">
        <v>-5093179</v>
      </c>
      <c r="E7" s="108">
        <v>-7413392</v>
      </c>
      <c r="F7" s="108">
        <v>-7746034</v>
      </c>
      <c r="G7" s="97">
        <f>E7-D7</f>
        <v>-2320213</v>
      </c>
      <c r="H7" s="98">
        <f>G7/D7</f>
        <v>0.45555300530376019</v>
      </c>
      <c r="I7" s="97">
        <f>F7-E7</f>
        <v>-332642</v>
      </c>
      <c r="J7" s="98">
        <f t="shared" ref="J7:J13" si="0">(I7/E7)</f>
        <v>4.4870418291653807E-2</v>
      </c>
      <c r="K7" s="124">
        <f>$F7*(1+ASSUMPTIONS!K15)</f>
        <v>-8172065.8699999992</v>
      </c>
      <c r="L7" s="124">
        <f>$F7*(1+ASSUMPTIONS!L15)</f>
        <v>-8133335.7000000002</v>
      </c>
      <c r="M7" s="124">
        <f>$F7*(1+ASSUMPTIONS!M15)</f>
        <v>-8094605.5299999993</v>
      </c>
      <c r="N7" s="124"/>
    </row>
    <row r="8" spans="2:16" ht="15" customHeight="1" x14ac:dyDescent="0.3">
      <c r="B8" s="109" t="s">
        <v>65</v>
      </c>
      <c r="C8" s="104" t="s">
        <v>64</v>
      </c>
      <c r="D8" s="110">
        <v>-5647458</v>
      </c>
      <c r="E8" s="111">
        <v>-4396253</v>
      </c>
      <c r="F8" s="111">
        <v>-3988925</v>
      </c>
      <c r="G8" s="97">
        <f t="shared" ref="G8:G13" si="1">E8-D8</f>
        <v>1251205</v>
      </c>
      <c r="H8" s="98">
        <f t="shared" ref="H8:H13" si="2">G8/D8</f>
        <v>-0.22155189113402879</v>
      </c>
      <c r="I8" s="97">
        <f t="shared" ref="I8:I15" si="3">F8-E8</f>
        <v>407328</v>
      </c>
      <c r="J8" s="98">
        <f t="shared" si="0"/>
        <v>-9.2653448288804119E-2</v>
      </c>
      <c r="K8" s="124">
        <f>$F8*(1+ASSUMPTIONS!K16)</f>
        <v>-4148482</v>
      </c>
      <c r="L8" s="124">
        <f>$F8*(1+ASSUMPTIONS!L16)</f>
        <v>-4068703.5</v>
      </c>
      <c r="M8" s="124">
        <f>$F8*(1+ASSUMPTIONS!M16)</f>
        <v>-4028814.25</v>
      </c>
      <c r="N8" s="124"/>
    </row>
    <row r="9" spans="2:16" ht="15" customHeight="1" x14ac:dyDescent="0.3">
      <c r="B9" s="107" t="s">
        <v>66</v>
      </c>
      <c r="C9" s="100" t="s">
        <v>64</v>
      </c>
      <c r="D9" s="108">
        <v>-6430776</v>
      </c>
      <c r="E9" s="108">
        <v>-2849934</v>
      </c>
      <c r="F9" s="108">
        <v>-3090124</v>
      </c>
      <c r="G9" s="97">
        <f t="shared" si="1"/>
        <v>3580842</v>
      </c>
      <c r="H9" s="98">
        <f t="shared" si="2"/>
        <v>-0.55682891147195923</v>
      </c>
      <c r="I9" s="97">
        <f t="shared" si="3"/>
        <v>-240190</v>
      </c>
      <c r="J9" s="98">
        <f t="shared" si="0"/>
        <v>8.427914471001785E-2</v>
      </c>
      <c r="K9" s="124">
        <f>$F9*(1+ASSUMPTIONS!K17)</f>
        <v>-3352784.54</v>
      </c>
      <c r="L9" s="124">
        <f>$F9*(1+ASSUMPTIONS!L17)</f>
        <v>-3368235.16</v>
      </c>
      <c r="M9" s="124">
        <f>$F9*(1+ASSUMPTIONS!M17)</f>
        <v>-3399136.4000000004</v>
      </c>
      <c r="N9" s="124"/>
    </row>
    <row r="10" spans="2:16" ht="15" customHeight="1" x14ac:dyDescent="0.3">
      <c r="B10" s="109" t="s">
        <v>67</v>
      </c>
      <c r="C10" s="104" t="s">
        <v>64</v>
      </c>
      <c r="D10" s="111">
        <v>-3517369</v>
      </c>
      <c r="E10" s="111">
        <v>-1756068</v>
      </c>
      <c r="F10" s="111">
        <v>-2152272</v>
      </c>
      <c r="G10" s="97">
        <f t="shared" si="1"/>
        <v>1761301</v>
      </c>
      <c r="H10" s="98">
        <f t="shared" si="2"/>
        <v>-0.50074387987157443</v>
      </c>
      <c r="I10" s="97">
        <f t="shared" si="3"/>
        <v>-396204</v>
      </c>
      <c r="J10" s="98">
        <f t="shared" si="0"/>
        <v>0.22561996460273748</v>
      </c>
      <c r="K10" s="124">
        <f>$F10*(1+ASSUMPTIONS!K18)</f>
        <v>-2410544.64</v>
      </c>
      <c r="L10" s="124">
        <f>$F10*(1+ASSUMPTIONS!L18)</f>
        <v>-2496635.52</v>
      </c>
      <c r="M10" s="124">
        <f>$F10*(1+ASSUMPTIONS!M18)</f>
        <v>-2690340</v>
      </c>
      <c r="N10" s="124"/>
    </row>
    <row r="11" spans="2:16" ht="15" customHeight="1" x14ac:dyDescent="0.3">
      <c r="B11" s="107" t="s">
        <v>68</v>
      </c>
      <c r="C11" s="100" t="s">
        <v>64</v>
      </c>
      <c r="D11" s="108">
        <v>-1704532</v>
      </c>
      <c r="E11" s="108">
        <v>-975514</v>
      </c>
      <c r="F11" s="108">
        <v>-974464</v>
      </c>
      <c r="G11" s="97">
        <f t="shared" si="1"/>
        <v>729018</v>
      </c>
      <c r="H11" s="98">
        <f t="shared" si="2"/>
        <v>-0.42769393593080096</v>
      </c>
      <c r="I11" s="97">
        <f t="shared" si="3"/>
        <v>1050</v>
      </c>
      <c r="J11" s="98">
        <f t="shared" si="0"/>
        <v>-1.0763556443064888E-3</v>
      </c>
      <c r="K11" s="124">
        <f>$F11*(1+ASSUMPTIONS!K19)</f>
        <v>-993953.28000000003</v>
      </c>
      <c r="L11" s="124">
        <f>$F11*(1+ASSUMPTIONS!L19)</f>
        <v>-984208.64</v>
      </c>
      <c r="M11" s="124">
        <f>$F11*(1+ASSUMPTIONS!M19)</f>
        <v>-975438.46399999992</v>
      </c>
      <c r="N11" s="124"/>
    </row>
    <row r="12" spans="2:16" ht="15" customHeight="1" x14ac:dyDescent="0.3">
      <c r="B12" s="109" t="s">
        <v>69</v>
      </c>
      <c r="C12" s="104" t="s">
        <v>64</v>
      </c>
      <c r="D12" s="111">
        <v>-2671148</v>
      </c>
      <c r="E12" s="111">
        <v>-744175</v>
      </c>
      <c r="F12" s="111">
        <v>-748552</v>
      </c>
      <c r="G12" s="97">
        <f t="shared" si="1"/>
        <v>1926973</v>
      </c>
      <c r="H12" s="98">
        <f t="shared" si="2"/>
        <v>-0.72140255800127884</v>
      </c>
      <c r="I12" s="97">
        <f t="shared" si="3"/>
        <v>-4377</v>
      </c>
      <c r="J12" s="98">
        <f t="shared" si="0"/>
        <v>5.8816810562031781E-3</v>
      </c>
      <c r="K12" s="124">
        <f>$F12*(1+ASSUMPTIONS!K20)</f>
        <v>-748552</v>
      </c>
      <c r="L12" s="124">
        <f>$F12*(1+ASSUMPTIONS!L20)</f>
        <v>-748552</v>
      </c>
      <c r="M12" s="124">
        <f>$F12*(1+ASSUMPTIONS!M20)</f>
        <v>-748552</v>
      </c>
      <c r="N12" s="124"/>
    </row>
    <row r="13" spans="2:16" ht="15" customHeight="1" x14ac:dyDescent="0.3">
      <c r="B13" s="94" t="s">
        <v>70</v>
      </c>
      <c r="C13" s="95"/>
      <c r="D13" s="97">
        <f>SUM(D7:D12)</f>
        <v>-25064462</v>
      </c>
      <c r="E13" s="97">
        <f>SUM(E7:E12)</f>
        <v>-18135336</v>
      </c>
      <c r="F13" s="97">
        <f t="shared" ref="F13" si="4">SUM(F7:F12)</f>
        <v>-18700371</v>
      </c>
      <c r="G13" s="97">
        <f t="shared" si="1"/>
        <v>6929126</v>
      </c>
      <c r="H13" s="98">
        <f t="shared" si="2"/>
        <v>-0.27645221349654342</v>
      </c>
      <c r="I13" s="97">
        <f t="shared" si="3"/>
        <v>-565035</v>
      </c>
      <c r="J13" s="98">
        <f t="shared" si="0"/>
        <v>3.115657741328862E-2</v>
      </c>
      <c r="K13" s="97">
        <f>SUM(K7:K12)</f>
        <v>-19826382.330000002</v>
      </c>
      <c r="L13" s="97">
        <f t="shared" ref="L13:M13" si="5">SUM(L7:L12)</f>
        <v>-19799670.52</v>
      </c>
      <c r="M13" s="97">
        <f t="shared" si="5"/>
        <v>-19936886.644000001</v>
      </c>
      <c r="N13" s="97"/>
    </row>
    <row r="14" spans="2:16" ht="15" customHeight="1" x14ac:dyDescent="0.3">
      <c r="B14" s="103"/>
      <c r="C14" s="104"/>
      <c r="D14" s="167"/>
      <c r="E14" s="167"/>
      <c r="F14" s="167"/>
      <c r="G14" s="105"/>
      <c r="H14" s="106"/>
      <c r="I14" s="105"/>
      <c r="J14" s="106"/>
      <c r="K14" s="126"/>
      <c r="L14" s="126"/>
      <c r="M14" s="126"/>
      <c r="N14" s="126"/>
    </row>
    <row r="15" spans="2:16" ht="15" customHeight="1" x14ac:dyDescent="0.3">
      <c r="B15" s="94" t="s">
        <v>71</v>
      </c>
      <c r="C15" s="95"/>
      <c r="D15" s="97">
        <f>D4-(ABS(D13))</f>
        <v>-10278970</v>
      </c>
      <c r="E15" s="97">
        <f t="shared" ref="E15:F15" si="6">E4-(ABS(E13))</f>
        <v>-2240874</v>
      </c>
      <c r="F15" s="97">
        <f t="shared" si="6"/>
        <v>-378254</v>
      </c>
      <c r="G15" s="97">
        <f t="shared" ref="G15" si="7">E15-D15</f>
        <v>8038096</v>
      </c>
      <c r="H15" s="112">
        <f>G15/ABS(D15)</f>
        <v>0.78199430487685051</v>
      </c>
      <c r="I15" s="97">
        <f t="shared" si="3"/>
        <v>1862620</v>
      </c>
      <c r="J15" s="98">
        <f>(I15/ABS(E15))</f>
        <v>0.83120246832262767</v>
      </c>
      <c r="K15" s="97">
        <f t="shared" ref="K15:M15" si="8">K4-(ABS(K13))</f>
        <v>67991.380000002682</v>
      </c>
      <c r="L15" s="97">
        <f t="shared" si="8"/>
        <v>1055728.8099999987</v>
      </c>
      <c r="M15" s="97">
        <f t="shared" si="8"/>
        <v>2190824.7059999965</v>
      </c>
      <c r="N15" s="97"/>
    </row>
    <row r="16" spans="2:16" ht="15" customHeight="1" x14ac:dyDescent="0.3">
      <c r="B16" s="103"/>
      <c r="C16" s="104"/>
      <c r="D16" s="104"/>
      <c r="E16" s="105"/>
      <c r="F16" s="105"/>
      <c r="G16" s="105"/>
      <c r="H16" s="106"/>
      <c r="I16" s="105"/>
      <c r="J16" s="106"/>
      <c r="K16" s="126"/>
      <c r="L16" s="126"/>
      <c r="M16" s="126"/>
      <c r="N16" s="126"/>
    </row>
    <row r="17" spans="2:14" ht="15" customHeight="1" x14ac:dyDescent="0.3">
      <c r="B17" s="99" t="s">
        <v>72</v>
      </c>
      <c r="C17" s="100"/>
      <c r="D17" s="100"/>
      <c r="E17" s="101"/>
      <c r="F17" s="101"/>
      <c r="G17" s="101"/>
      <c r="H17" s="102"/>
      <c r="I17" s="101"/>
      <c r="J17" s="102"/>
      <c r="K17" s="125"/>
      <c r="L17" s="125"/>
      <c r="M17" s="125"/>
      <c r="N17" s="125"/>
    </row>
    <row r="18" spans="2:14" ht="15" customHeight="1" x14ac:dyDescent="0.3">
      <c r="B18" s="109" t="s">
        <v>73</v>
      </c>
      <c r="C18" s="104" t="s">
        <v>74</v>
      </c>
      <c r="D18" s="111">
        <v>635780</v>
      </c>
      <c r="E18" s="111">
        <v>736449</v>
      </c>
      <c r="F18" s="111">
        <v>573105</v>
      </c>
      <c r="G18" s="113">
        <f>E18-D18</f>
        <v>100669</v>
      </c>
      <c r="H18" s="114">
        <f t="shared" ref="H18:H26" si="9">G18/D18</f>
        <v>0.15833936267262261</v>
      </c>
      <c r="I18" s="105">
        <f>F18-E18</f>
        <v>-163344</v>
      </c>
      <c r="J18" s="106">
        <f t="shared" ref="J18:J26" si="10">(I18/E18)</f>
        <v>-0.22179947287592217</v>
      </c>
      <c r="K18" s="126">
        <f>$F18*(1+ASSUMPTIONS!K25)</f>
        <v>573105</v>
      </c>
      <c r="L18" s="126">
        <f>$F18*(1+ASSUMPTIONS!L25)</f>
        <v>601760.25</v>
      </c>
      <c r="M18" s="126">
        <f>$F18*(1+ASSUMPTIONS!M25)</f>
        <v>630415.5</v>
      </c>
      <c r="N18" s="126"/>
    </row>
    <row r="19" spans="2:14" ht="15" customHeight="1" x14ac:dyDescent="0.3">
      <c r="B19" s="107" t="s">
        <v>75</v>
      </c>
      <c r="C19" s="100" t="s">
        <v>76</v>
      </c>
      <c r="D19" s="108">
        <v>-369285</v>
      </c>
      <c r="E19" s="108">
        <v>-494053</v>
      </c>
      <c r="F19" s="108">
        <v>-535152</v>
      </c>
      <c r="G19" s="115">
        <f t="shared" ref="G19:G26" si="11">E19-D19</f>
        <v>-124768</v>
      </c>
      <c r="H19" s="116">
        <f t="shared" si="9"/>
        <v>0.33786370960098566</v>
      </c>
      <c r="I19" s="101">
        <f t="shared" ref="I19:I27" si="12">F19-E19</f>
        <v>-41099</v>
      </c>
      <c r="J19" s="102">
        <f t="shared" si="10"/>
        <v>8.3187431307977081E-2</v>
      </c>
      <c r="K19" s="125">
        <f>$F19*(1+ASSUMPTIONS!K26)</f>
        <v>-577964.16</v>
      </c>
      <c r="L19" s="125">
        <f>$F19*(1+ASSUMPTIONS!L26)</f>
        <v>-561909.6</v>
      </c>
      <c r="M19" s="125">
        <f>$F19*(1+ASSUMPTIONS!M26)</f>
        <v>-545855.04</v>
      </c>
      <c r="N19" s="125"/>
    </row>
    <row r="20" spans="2:14" ht="15" customHeight="1" x14ac:dyDescent="0.3">
      <c r="B20" s="109" t="s">
        <v>77</v>
      </c>
      <c r="C20" s="104"/>
      <c r="D20" s="111">
        <v>-174214</v>
      </c>
      <c r="E20" s="111">
        <v>289924</v>
      </c>
      <c r="F20" s="111">
        <v>111862</v>
      </c>
      <c r="G20" s="113">
        <f t="shared" si="11"/>
        <v>464138</v>
      </c>
      <c r="H20" s="114">
        <f t="shared" si="9"/>
        <v>-2.664183131091646</v>
      </c>
      <c r="I20" s="105">
        <f t="shared" si="12"/>
        <v>-178062</v>
      </c>
      <c r="J20" s="106">
        <f t="shared" si="10"/>
        <v>-0.61416785088505954</v>
      </c>
      <c r="K20" s="126">
        <f>$F20*(1+ASSUMPTIONS!K27)</f>
        <v>111862</v>
      </c>
      <c r="L20" s="144">
        <f>$F20*(1+ASSUMPTIONS!L27)</f>
        <v>111862</v>
      </c>
      <c r="M20" s="126">
        <f>$F20*(1+ASSUMPTIONS!M27)</f>
        <v>111862</v>
      </c>
      <c r="N20" s="148"/>
    </row>
    <row r="21" spans="2:14" ht="15" customHeight="1" x14ac:dyDescent="0.3">
      <c r="B21" s="107" t="s">
        <v>78</v>
      </c>
      <c r="C21" s="100" t="s">
        <v>79</v>
      </c>
      <c r="D21" s="108">
        <v>-373204</v>
      </c>
      <c r="E21" s="108">
        <v>-308114</v>
      </c>
      <c r="F21" s="108">
        <v>-356830</v>
      </c>
      <c r="G21" s="115">
        <f t="shared" si="11"/>
        <v>65090</v>
      </c>
      <c r="H21" s="116">
        <f t="shared" si="9"/>
        <v>-0.17440863441978113</v>
      </c>
      <c r="I21" s="101">
        <f t="shared" si="12"/>
        <v>-48716</v>
      </c>
      <c r="J21" s="102">
        <f t="shared" si="10"/>
        <v>0.15811030982039115</v>
      </c>
      <c r="K21" s="125">
        <f>$F21*(1+ASSUMPTIONS!K28)</f>
        <v>-356830</v>
      </c>
      <c r="L21" s="125">
        <f>$F21*(1+ASSUMPTIONS!L28)</f>
        <v>-356830</v>
      </c>
      <c r="M21" s="125">
        <f>$F21*(1+ASSUMPTIONS!M28)</f>
        <v>-356830</v>
      </c>
      <c r="N21" s="149"/>
    </row>
    <row r="22" spans="2:14" ht="15" customHeight="1" x14ac:dyDescent="0.3">
      <c r="B22" s="109" t="s">
        <v>80</v>
      </c>
      <c r="C22" s="104"/>
      <c r="D22" s="111">
        <v>-78767510</v>
      </c>
      <c r="E22" s="111">
        <v>-24421</v>
      </c>
      <c r="F22" s="111">
        <v>-217133</v>
      </c>
      <c r="G22" s="113">
        <f t="shared" si="11"/>
        <v>78743089</v>
      </c>
      <c r="H22" s="114">
        <f t="shared" si="9"/>
        <v>-0.99968996100041752</v>
      </c>
      <c r="I22" s="105">
        <f t="shared" si="12"/>
        <v>-192712</v>
      </c>
      <c r="J22" s="106">
        <f t="shared" si="10"/>
        <v>7.8912411449162603</v>
      </c>
      <c r="K22" s="126">
        <f>$F22*(1+ASSUMPTIONS!K29)</f>
        <v>-217133</v>
      </c>
      <c r="L22" s="126">
        <f>$F22*(1+ASSUMPTIONS!L29)</f>
        <v>-217133</v>
      </c>
      <c r="M22" s="126">
        <f>$F22*(1+ASSUMPTIONS!M29)</f>
        <v>-217133</v>
      </c>
      <c r="N22" s="148"/>
    </row>
    <row r="23" spans="2:14" ht="15" customHeight="1" x14ac:dyDescent="0.3">
      <c r="B23" s="107" t="s">
        <v>81</v>
      </c>
      <c r="C23" s="100"/>
      <c r="D23" s="108">
        <v>-51625</v>
      </c>
      <c r="E23" s="108">
        <v>-126718</v>
      </c>
      <c r="F23" s="108">
        <v>0</v>
      </c>
      <c r="G23" s="115">
        <f t="shared" si="11"/>
        <v>-75093</v>
      </c>
      <c r="H23" s="116">
        <f t="shared" si="9"/>
        <v>1.4545859564164649</v>
      </c>
      <c r="I23" s="101">
        <f t="shared" si="12"/>
        <v>126718</v>
      </c>
      <c r="J23" s="102">
        <f t="shared" si="10"/>
        <v>-1</v>
      </c>
      <c r="K23" s="125">
        <f>$F23*(1+ASSUMPTIONS!K30)</f>
        <v>0</v>
      </c>
      <c r="L23" s="125">
        <f>$F23*(1+ASSUMPTIONS!L30)</f>
        <v>0</v>
      </c>
      <c r="M23" s="125">
        <f>$F23*(1+ASSUMPTIONS!M30)</f>
        <v>0</v>
      </c>
      <c r="N23" s="149"/>
    </row>
    <row r="24" spans="2:14" ht="15" customHeight="1" x14ac:dyDescent="0.3">
      <c r="B24" s="109" t="s">
        <v>82</v>
      </c>
      <c r="C24" s="104"/>
      <c r="D24" s="111">
        <v>-991570</v>
      </c>
      <c r="E24" s="111">
        <v>-482134</v>
      </c>
      <c r="F24" s="111">
        <v>-596703</v>
      </c>
      <c r="G24" s="113">
        <f t="shared" si="11"/>
        <v>509436</v>
      </c>
      <c r="H24" s="114">
        <f t="shared" si="9"/>
        <v>-0.51376705628447816</v>
      </c>
      <c r="I24" s="105">
        <f t="shared" si="12"/>
        <v>-114569</v>
      </c>
      <c r="J24" s="106">
        <f t="shared" si="10"/>
        <v>0.2376289579245604</v>
      </c>
      <c r="K24" s="126">
        <f>$F24*(1+ASSUMPTIONS!K31)</f>
        <v>-596703</v>
      </c>
      <c r="L24" s="144">
        <f>$F24*(1+ASSUMPTIONS!L31)</f>
        <v>-596703</v>
      </c>
      <c r="M24" s="126">
        <f>$F24*(1+ASSUMPTIONS!M31)</f>
        <v>-596703</v>
      </c>
      <c r="N24" s="148"/>
    </row>
    <row r="25" spans="2:14" ht="15" customHeight="1" x14ac:dyDescent="0.3">
      <c r="B25" s="107" t="s">
        <v>83</v>
      </c>
      <c r="C25" s="100"/>
      <c r="D25" s="108">
        <v>-211826</v>
      </c>
      <c r="E25" s="108">
        <v>-2305125</v>
      </c>
      <c r="F25" s="108">
        <v>249100</v>
      </c>
      <c r="G25" s="115">
        <f t="shared" si="11"/>
        <v>-2093299</v>
      </c>
      <c r="H25" s="116">
        <f t="shared" si="9"/>
        <v>9.882162718457602</v>
      </c>
      <c r="I25" s="101">
        <f t="shared" si="12"/>
        <v>2554225</v>
      </c>
      <c r="J25" s="102">
        <f t="shared" si="10"/>
        <v>-1.1080635540371997</v>
      </c>
      <c r="K25" s="125">
        <f>$F25*(1+ASSUMPTIONS!K32)</f>
        <v>249100</v>
      </c>
      <c r="L25" s="125">
        <f>$F25*(1+ASSUMPTIONS!L32)</f>
        <v>274010</v>
      </c>
      <c r="M25" s="125">
        <f>$F25*(1+ASSUMPTIONS!M32)</f>
        <v>298920</v>
      </c>
      <c r="N25" s="125"/>
    </row>
    <row r="26" spans="2:14" ht="15" customHeight="1" x14ac:dyDescent="0.3">
      <c r="B26" s="109" t="s">
        <v>84</v>
      </c>
      <c r="C26" s="104" t="s">
        <v>85</v>
      </c>
      <c r="D26" s="111">
        <v>-51994</v>
      </c>
      <c r="E26" s="111">
        <v>-320764</v>
      </c>
      <c r="F26" s="111">
        <v>63401</v>
      </c>
      <c r="G26" s="113">
        <f t="shared" si="11"/>
        <v>-268770</v>
      </c>
      <c r="H26" s="114">
        <f t="shared" si="9"/>
        <v>5.1692502981113204</v>
      </c>
      <c r="I26" s="105">
        <f t="shared" si="12"/>
        <v>384165</v>
      </c>
      <c r="J26" s="106">
        <f t="shared" si="10"/>
        <v>-1.1976562207729047</v>
      </c>
      <c r="K26" s="126">
        <f>$F26*(1+ASSUMPTIONS!K33)</f>
        <v>63401</v>
      </c>
      <c r="L26" s="126">
        <f>$F26*(1+ASSUMPTIONS!L33)</f>
        <v>66571.05</v>
      </c>
      <c r="M26" s="126">
        <f>$F26*(1+ASSUMPTIONS!M33)</f>
        <v>69741.100000000006</v>
      </c>
      <c r="N26" s="126"/>
    </row>
    <row r="27" spans="2:14" ht="15" customHeight="1" x14ac:dyDescent="0.3">
      <c r="B27" s="94" t="s">
        <v>86</v>
      </c>
      <c r="C27" s="95"/>
      <c r="D27" s="97">
        <f>SUM(D18:D26)+D15</f>
        <v>-90634418</v>
      </c>
      <c r="E27" s="97">
        <f>SUM(E18:E26)+E15</f>
        <v>-5275830</v>
      </c>
      <c r="F27" s="97">
        <f>SUM(F18:F26)+F15</f>
        <v>-1086604</v>
      </c>
      <c r="G27" s="117">
        <f t="shared" ref="G27:G31" si="13">E27-D27</f>
        <v>85358588</v>
      </c>
      <c r="H27" s="118">
        <f>G27/ABS(D27)</f>
        <v>0.94178999417197118</v>
      </c>
      <c r="I27" s="97">
        <f t="shared" si="12"/>
        <v>4189226</v>
      </c>
      <c r="J27" s="98">
        <f>(I27/ABS(E27))</f>
        <v>0.79404112717809328</v>
      </c>
      <c r="K27" s="97">
        <f>SUM(K18:K26)+K15</f>
        <v>-683170.77999999747</v>
      </c>
      <c r="L27" s="97">
        <f>SUM(L18:L26)+L15</f>
        <v>377356.50999999873</v>
      </c>
      <c r="M27" s="97">
        <f>SUM(M18:M26)+M15</f>
        <v>1585242.2659999966</v>
      </c>
      <c r="N27" s="97"/>
    </row>
    <row r="28" spans="2:14" ht="15" customHeight="1" x14ac:dyDescent="0.3">
      <c r="B28" s="103"/>
      <c r="C28" s="104"/>
      <c r="D28" s="104"/>
      <c r="E28" s="105"/>
      <c r="F28" s="105"/>
      <c r="G28" s="105"/>
      <c r="H28" s="106"/>
      <c r="I28" s="105"/>
      <c r="J28" s="106"/>
      <c r="K28" s="126"/>
      <c r="L28" s="126"/>
      <c r="M28" s="126"/>
      <c r="N28" s="126"/>
    </row>
    <row r="29" spans="2:14" ht="39.6" x14ac:dyDescent="0.3">
      <c r="B29" s="99" t="s">
        <v>87</v>
      </c>
      <c r="C29" s="100" t="s">
        <v>88</v>
      </c>
      <c r="D29" s="108">
        <v>115692</v>
      </c>
      <c r="E29" s="108">
        <v>-189025</v>
      </c>
      <c r="F29" s="108">
        <v>-415081</v>
      </c>
      <c r="G29" s="115">
        <f t="shared" si="13"/>
        <v>-304717</v>
      </c>
      <c r="H29" s="116">
        <f>G29/D29</f>
        <v>-2.6338640528299275</v>
      </c>
      <c r="I29" s="101">
        <f>F29-E29</f>
        <v>-226056</v>
      </c>
      <c r="J29" s="102">
        <f>(I29/E29)</f>
        <v>1.195905303531279</v>
      </c>
      <c r="K29" s="137">
        <v>0</v>
      </c>
      <c r="L29" s="137">
        <v>0</v>
      </c>
      <c r="M29" s="137">
        <v>0</v>
      </c>
      <c r="N29" s="150" t="s">
        <v>442</v>
      </c>
    </row>
    <row r="30" spans="2:14" ht="15" customHeight="1" x14ac:dyDescent="0.3">
      <c r="B30" s="103"/>
      <c r="C30" s="104"/>
      <c r="D30" s="105"/>
      <c r="E30" s="105"/>
      <c r="F30" s="105"/>
      <c r="G30" s="105"/>
      <c r="H30" s="119"/>
      <c r="I30" s="105"/>
      <c r="J30" s="106"/>
      <c r="K30" s="106"/>
      <c r="L30" s="106"/>
      <c r="M30" s="106"/>
      <c r="N30" s="106"/>
    </row>
    <row r="31" spans="2:14" ht="15" customHeight="1" x14ac:dyDescent="0.3">
      <c r="B31" s="94" t="s">
        <v>89</v>
      </c>
      <c r="C31" s="95"/>
      <c r="D31" s="97">
        <f>D27+D29</f>
        <v>-90518726</v>
      </c>
      <c r="E31" s="97">
        <f>E27+E29</f>
        <v>-5464855</v>
      </c>
      <c r="F31" s="97">
        <f>F27+F29</f>
        <v>-1501685</v>
      </c>
      <c r="G31" s="97">
        <f t="shared" si="13"/>
        <v>85053871</v>
      </c>
      <c r="H31" s="112">
        <f>G31/ABS(D31)</f>
        <v>0.93962735401291442</v>
      </c>
      <c r="I31" s="97">
        <f>F31-E31</f>
        <v>3963170</v>
      </c>
      <c r="J31" s="98">
        <f>(I31/ABS(E31))</f>
        <v>0.72521045846596111</v>
      </c>
      <c r="K31" s="97">
        <f>K27</f>
        <v>-683170.77999999747</v>
      </c>
      <c r="L31" s="97">
        <f>L27</f>
        <v>377356.50999999873</v>
      </c>
      <c r="M31" s="97">
        <f>M27</f>
        <v>1585242.2659999966</v>
      </c>
      <c r="N31" s="98"/>
    </row>
    <row r="32" spans="2:14" ht="15" customHeight="1" x14ac:dyDescent="0.3">
      <c r="B32" s="103"/>
      <c r="C32" s="104"/>
      <c r="D32" s="105"/>
      <c r="E32" s="105"/>
      <c r="F32" s="105"/>
      <c r="G32" s="105"/>
      <c r="H32" s="119"/>
      <c r="I32" s="105"/>
      <c r="J32" s="106"/>
      <c r="K32" s="106"/>
      <c r="L32" s="106"/>
      <c r="M32" s="106"/>
      <c r="N32" s="106"/>
    </row>
    <row r="33" spans="2:14" ht="15" customHeight="1" x14ac:dyDescent="0.3">
      <c r="B33" s="99" t="s">
        <v>90</v>
      </c>
      <c r="C33" s="100"/>
      <c r="D33" s="101"/>
      <c r="E33" s="101"/>
      <c r="F33" s="101"/>
      <c r="G33" s="101"/>
      <c r="H33" s="120"/>
      <c r="I33" s="101"/>
      <c r="J33" s="102"/>
      <c r="K33" s="102"/>
      <c r="L33" s="102"/>
      <c r="M33" s="102"/>
      <c r="N33" s="102"/>
    </row>
    <row r="34" spans="2:14" ht="15" customHeight="1" x14ac:dyDescent="0.3">
      <c r="B34" s="109" t="s">
        <v>91</v>
      </c>
      <c r="C34" s="104"/>
      <c r="D34" s="111">
        <v>-90395629</v>
      </c>
      <c r="E34" s="111">
        <v>-5154924</v>
      </c>
      <c r="F34" s="111">
        <v>-1185654</v>
      </c>
      <c r="G34" s="113">
        <f t="shared" ref="G34:G35" si="14">D34-E34</f>
        <v>-85240705</v>
      </c>
      <c r="H34" s="114">
        <f>G34/D34</f>
        <v>0.94297374710451987</v>
      </c>
      <c r="I34" s="105">
        <f t="shared" ref="I34:I35" si="15">F34-E34</f>
        <v>3969270</v>
      </c>
      <c r="J34" s="106">
        <f>(I34/E34)</f>
        <v>-0.76999583311024566</v>
      </c>
      <c r="K34" s="106"/>
      <c r="L34" s="106"/>
      <c r="M34" s="106"/>
      <c r="N34" s="106"/>
    </row>
    <row r="35" spans="2:14" ht="15" customHeight="1" x14ac:dyDescent="0.3">
      <c r="B35" s="107" t="s">
        <v>92</v>
      </c>
      <c r="C35" s="100"/>
      <c r="D35" s="108">
        <v>-123097</v>
      </c>
      <c r="E35" s="108">
        <v>-309931</v>
      </c>
      <c r="F35" s="108">
        <v>-316031</v>
      </c>
      <c r="G35" s="115">
        <f t="shared" si="14"/>
        <v>186834</v>
      </c>
      <c r="H35" s="116">
        <f>G35/D35</f>
        <v>-1.5177786623557032</v>
      </c>
      <c r="I35" s="101">
        <f t="shared" si="15"/>
        <v>-6100</v>
      </c>
      <c r="J35" s="102">
        <f>(I35/E35)</f>
        <v>1.9681800142612386E-2</v>
      </c>
      <c r="K35" s="102"/>
      <c r="L35" s="102"/>
      <c r="M35" s="102"/>
      <c r="N35" s="102"/>
    </row>
    <row r="36" spans="2:14" ht="15" customHeight="1" x14ac:dyDescent="0.3">
      <c r="B36" s="103"/>
      <c r="C36" s="104"/>
      <c r="D36" s="105"/>
      <c r="E36" s="105"/>
      <c r="F36" s="105"/>
      <c r="G36" s="105"/>
      <c r="H36" s="105"/>
      <c r="I36" s="105"/>
      <c r="J36" s="106"/>
      <c r="K36" s="106"/>
      <c r="L36" s="106"/>
      <c r="M36" s="106"/>
      <c r="N36" s="106"/>
    </row>
    <row r="37" spans="2:14" ht="15" customHeight="1" x14ac:dyDescent="0.3">
      <c r="B37" s="99" t="s">
        <v>93</v>
      </c>
      <c r="C37" s="100" t="s">
        <v>94</v>
      </c>
      <c r="D37" s="121">
        <v>-85</v>
      </c>
      <c r="E37" s="121">
        <v>-4.8</v>
      </c>
      <c r="F37" s="121">
        <v>-1.1000000000000001</v>
      </c>
      <c r="G37" s="121"/>
      <c r="H37" s="121"/>
      <c r="I37" s="101"/>
      <c r="J37" s="102"/>
      <c r="K37" s="102"/>
      <c r="L37" s="102"/>
      <c r="M37" s="102"/>
      <c r="N37" s="102"/>
    </row>
    <row r="38" spans="2:14" ht="15" customHeight="1" x14ac:dyDescent="0.3">
      <c r="B38" s="103"/>
      <c r="C38" s="104"/>
      <c r="D38" s="104"/>
      <c r="E38" s="105"/>
      <c r="F38" s="105"/>
      <c r="G38" s="105"/>
      <c r="H38" s="105"/>
      <c r="I38" s="105"/>
      <c r="J38" s="106"/>
      <c r="K38" s="106"/>
      <c r="L38" s="106"/>
      <c r="M38" s="106"/>
      <c r="N38" s="106"/>
    </row>
    <row r="39" spans="2:14" ht="13.5" customHeight="1" x14ac:dyDescent="0.3">
      <c r="B39" s="213" t="s">
        <v>95</v>
      </c>
      <c r="C39" s="213"/>
      <c r="D39" s="213"/>
      <c r="E39" s="213"/>
      <c r="F39" s="213"/>
      <c r="G39" s="213"/>
      <c r="H39" s="213"/>
      <c r="I39" s="213"/>
      <c r="J39" s="213"/>
      <c r="K39" s="122"/>
      <c r="L39" s="122"/>
      <c r="M39" s="122"/>
      <c r="N39" s="128"/>
    </row>
    <row r="40" spans="2:14" ht="15" customHeight="1" x14ac:dyDescent="0.3">
      <c r="B40" s="103" t="s">
        <v>96</v>
      </c>
      <c r="C40" s="104"/>
      <c r="D40" s="105">
        <f>D4-(-D7)</f>
        <v>9692313</v>
      </c>
      <c r="E40" s="105">
        <f>E4-(-E7)</f>
        <v>8481070</v>
      </c>
      <c r="F40" s="105">
        <f>F4-(-F7)</f>
        <v>10576083</v>
      </c>
      <c r="G40" s="105"/>
      <c r="H40" s="105"/>
      <c r="I40" s="105"/>
      <c r="J40" s="106"/>
      <c r="K40" s="126">
        <f>K4-(-K7)</f>
        <v>11722307.840000005</v>
      </c>
      <c r="L40" s="126">
        <f t="shared" ref="L40:M40" si="16">L4-(-L7)</f>
        <v>12722063.629999999</v>
      </c>
      <c r="M40" s="126">
        <f t="shared" si="16"/>
        <v>14033105.819999998</v>
      </c>
      <c r="N40" s="106"/>
    </row>
    <row r="41" spans="2:14" ht="15" customHeight="1" x14ac:dyDescent="0.3">
      <c r="B41" s="99" t="s">
        <v>47</v>
      </c>
      <c r="C41" s="100"/>
      <c r="D41" s="102">
        <f>D40/D4</f>
        <v>0.65552860871995333</v>
      </c>
      <c r="E41" s="102">
        <f>E40/E4</f>
        <v>0.53358647810790949</v>
      </c>
      <c r="F41" s="102">
        <f>F40/F4</f>
        <v>0.57723040410668702</v>
      </c>
      <c r="G41" s="102"/>
      <c r="H41" s="102"/>
      <c r="I41" s="101"/>
      <c r="J41" s="102"/>
      <c r="K41" s="102">
        <f>K40/K4</f>
        <v>0.58922728661258283</v>
      </c>
      <c r="L41" s="102">
        <f t="shared" ref="L41:M41" si="17">L40/L4</f>
        <v>0.61001294814334295</v>
      </c>
      <c r="M41" s="102">
        <f t="shared" si="17"/>
        <v>0.63418695219015497</v>
      </c>
      <c r="N41" s="102"/>
    </row>
    <row r="42" spans="2:14" ht="15" customHeight="1" x14ac:dyDescent="0.3">
      <c r="B42" s="8" t="s">
        <v>48</v>
      </c>
      <c r="C42" s="31"/>
      <c r="D42" s="33">
        <f>D15/D4</f>
        <v>-0.69520649025409498</v>
      </c>
      <c r="E42" s="33">
        <f>E15/E4</f>
        <v>-0.14098457689225341</v>
      </c>
      <c r="F42" s="33">
        <f>F15/F4</f>
        <v>-2.064466677076672E-2</v>
      </c>
      <c r="G42" s="33"/>
      <c r="H42" s="33"/>
      <c r="I42" s="32"/>
      <c r="J42" s="92"/>
      <c r="K42" s="92">
        <f>K15/K4</f>
        <v>3.4176185182359614E-3</v>
      </c>
      <c r="L42" s="92">
        <f t="shared" ref="L42:M42" si="18">L15/L4</f>
        <v>5.0621366356738022E-2</v>
      </c>
      <c r="M42" s="92">
        <f t="shared" si="18"/>
        <v>9.900819254857085E-2</v>
      </c>
      <c r="N42" s="106"/>
    </row>
    <row r="43" spans="2:14" ht="15" customHeight="1" x14ac:dyDescent="0.3">
      <c r="B43" s="6" t="s">
        <v>49</v>
      </c>
      <c r="C43" s="28"/>
      <c r="D43" s="30">
        <f>D27/D4</f>
        <v>-6.1299561759595145</v>
      </c>
      <c r="E43" s="30">
        <f>E27/E4</f>
        <v>-0.33192881898110171</v>
      </c>
      <c r="F43" s="30">
        <f>F27/F4</f>
        <v>-5.9305592252249018E-2</v>
      </c>
      <c r="G43" s="30"/>
      <c r="H43" s="30"/>
      <c r="I43" s="29"/>
      <c r="J43" s="91"/>
      <c r="K43" s="91">
        <f>K27/K4</f>
        <v>-3.4339898805489828E-2</v>
      </c>
      <c r="L43" s="91">
        <f t="shared" ref="L43:M43" si="19">L27/L4</f>
        <v>1.8093947952230304E-2</v>
      </c>
      <c r="M43" s="91">
        <f t="shared" si="19"/>
        <v>7.1640588623278323E-2</v>
      </c>
      <c r="N43" s="102"/>
    </row>
    <row r="44" spans="2:14" ht="15" customHeight="1" x14ac:dyDescent="0.3">
      <c r="B44" s="8" t="s">
        <v>97</v>
      </c>
      <c r="C44" s="31"/>
      <c r="D44" s="32">
        <f>D15-D12</f>
        <v>-7607822</v>
      </c>
      <c r="E44" s="32">
        <f>E15-E12</f>
        <v>-1496699</v>
      </c>
      <c r="F44" s="32">
        <f>F15-F12</f>
        <v>370298</v>
      </c>
      <c r="G44" s="32"/>
      <c r="H44" s="32"/>
      <c r="I44" s="32"/>
      <c r="J44" s="93"/>
      <c r="K44" s="151">
        <f>K15-K12</f>
        <v>816543.38000000268</v>
      </c>
      <c r="L44" s="151">
        <f t="shared" ref="L44:M44" si="20">L15-L12</f>
        <v>1804280.8099999987</v>
      </c>
      <c r="M44" s="151">
        <f t="shared" si="20"/>
        <v>2939376.7059999965</v>
      </c>
      <c r="N44" s="106"/>
    </row>
    <row r="45" spans="2:14" ht="15" customHeight="1" x14ac:dyDescent="0.3">
      <c r="B45" s="6" t="s">
        <v>98</v>
      </c>
      <c r="C45" s="28"/>
      <c r="D45" s="30">
        <f>D44/D4</f>
        <v>-0.51454642158678254</v>
      </c>
      <c r="E45" s="30">
        <f>E44/E4</f>
        <v>-9.4164810359734105E-2</v>
      </c>
      <c r="F45" s="30">
        <f>F44/F4</f>
        <v>2.021043747291866E-2</v>
      </c>
      <c r="G45" s="30"/>
      <c r="H45" s="30"/>
      <c r="I45" s="29"/>
      <c r="J45" s="91"/>
      <c r="K45" s="91">
        <f t="shared" ref="K45:M45" si="21">K44/K4</f>
        <v>4.1043934928675994E-2</v>
      </c>
      <c r="L45" s="91">
        <f>L44/L4</f>
        <v>8.6513846196394018E-2</v>
      </c>
      <c r="M45" s="91">
        <f t="shared" si="21"/>
        <v>0.13283690570195353</v>
      </c>
      <c r="N45" s="102"/>
    </row>
    <row r="46" spans="2:14" ht="15" customHeight="1" x14ac:dyDescent="0.3">
      <c r="B46" s="211" t="s">
        <v>387</v>
      </c>
      <c r="C46" s="212"/>
      <c r="D46" s="212"/>
      <c r="E46" s="212"/>
      <c r="F46" s="212"/>
      <c r="G46" s="212"/>
      <c r="H46" s="212"/>
      <c r="I46" s="212"/>
      <c r="J46" s="212"/>
      <c r="K46" s="152"/>
      <c r="L46" s="152"/>
      <c r="M46" s="152"/>
      <c r="N46" s="153"/>
    </row>
    <row r="47" spans="2:14" ht="15" customHeight="1" x14ac:dyDescent="0.3">
      <c r="B47" s="161" t="s">
        <v>233</v>
      </c>
      <c r="C47" s="170"/>
      <c r="D47" s="172">
        <f>CF!D60</f>
        <v>-4325308</v>
      </c>
      <c r="E47" s="172">
        <f>CF!E60</f>
        <v>-622114</v>
      </c>
      <c r="F47" s="172">
        <f>CF!F60</f>
        <v>307025</v>
      </c>
      <c r="G47" s="170"/>
      <c r="H47" s="170"/>
      <c r="I47" s="192"/>
      <c r="J47" s="175"/>
      <c r="K47" s="166">
        <f>K44*(($F48+$E48+$D48)/3)</f>
        <v>493551.81650627282</v>
      </c>
      <c r="L47" s="166">
        <f t="shared" ref="L47:M47" si="22">L44*(($F48+$E48+$D48)/3)</f>
        <v>1090580.2350181392</v>
      </c>
      <c r="M47" s="166">
        <f t="shared" si="22"/>
        <v>1776678.0653374696</v>
      </c>
      <c r="N47" s="165"/>
    </row>
    <row r="48" spans="2:14" ht="15" customHeight="1" x14ac:dyDescent="0.3">
      <c r="B48" s="171" t="s">
        <v>388</v>
      </c>
      <c r="C48" s="168"/>
      <c r="D48" s="173">
        <f>D47/D44</f>
        <v>0.5685343321649744</v>
      </c>
      <c r="E48" s="173">
        <f t="shared" ref="E48:F48" si="23">E47/E44</f>
        <v>0.41565739002965862</v>
      </c>
      <c r="F48" s="173">
        <f t="shared" si="23"/>
        <v>0.82912951190662654</v>
      </c>
      <c r="G48" s="168"/>
      <c r="H48" s="168"/>
      <c r="I48" s="168"/>
      <c r="J48" s="169"/>
      <c r="K48" s="152">
        <f>($E$48+$F$48)/2</f>
        <v>0.62239345096814258</v>
      </c>
      <c r="L48" s="152">
        <f t="shared" ref="L48:M48" si="24">($E$48+$F$48)/2</f>
        <v>0.62239345096814258</v>
      </c>
      <c r="M48" s="152">
        <f t="shared" si="24"/>
        <v>0.62239345096814258</v>
      </c>
      <c r="N48" s="153"/>
    </row>
    <row r="49" spans="2:14" ht="15" customHeight="1" x14ac:dyDescent="0.3">
      <c r="B49" s="161" t="s">
        <v>386</v>
      </c>
      <c r="C49" s="162"/>
      <c r="D49" s="163">
        <v>0</v>
      </c>
      <c r="E49" s="163">
        <v>0</v>
      </c>
      <c r="F49" s="163">
        <v>0</v>
      </c>
      <c r="G49" s="163"/>
      <c r="H49" s="163"/>
      <c r="I49" s="164"/>
      <c r="J49" s="174"/>
      <c r="K49" s="166">
        <f>K4*(-5.5%)</f>
        <v>-1094190.5540500002</v>
      </c>
      <c r="L49" s="166">
        <f>L4*(-6%)</f>
        <v>-1251323.9597999998</v>
      </c>
      <c r="M49" s="166">
        <f>M4*(-6.5%)</f>
        <v>-1438301.2377499999</v>
      </c>
      <c r="N49" s="165"/>
    </row>
    <row r="50" spans="2:14" x14ac:dyDescent="0.3">
      <c r="B50" s="154" t="s">
        <v>385</v>
      </c>
      <c r="C50" s="155"/>
      <c r="D50" s="156">
        <f>CF!D62</f>
        <v>-4545755</v>
      </c>
      <c r="E50" s="156">
        <f>CF!E62</f>
        <v>-7140976</v>
      </c>
      <c r="F50" s="156">
        <f>CF!F62</f>
        <v>-875335</v>
      </c>
      <c r="G50" s="157"/>
      <c r="H50" s="157"/>
      <c r="I50" s="157"/>
      <c r="J50" s="158"/>
      <c r="K50" s="159">
        <f>K47+K49</f>
        <v>-600638.73754372727</v>
      </c>
      <c r="L50" s="159">
        <f t="shared" ref="L50:M50" si="25">L47+L49</f>
        <v>-160743.7247818606</v>
      </c>
      <c r="M50" s="159">
        <f t="shared" si="25"/>
        <v>338376.82758746971</v>
      </c>
      <c r="N50" s="160"/>
    </row>
    <row r="51" spans="2:14" x14ac:dyDescent="0.3">
      <c r="B51" s="161" t="s">
        <v>55</v>
      </c>
      <c r="C51" s="162"/>
      <c r="D51" s="193">
        <f>CF!D63</f>
        <v>-0.30744698925135533</v>
      </c>
      <c r="E51" s="193">
        <f>CF!E63</f>
        <v>-0.44927447056716985</v>
      </c>
      <c r="F51" s="193">
        <f>CF!F63</f>
        <v>-4.7774774061316166E-2</v>
      </c>
      <c r="G51" s="163"/>
      <c r="H51" s="163"/>
      <c r="I51" s="164"/>
      <c r="J51" s="174"/>
      <c r="K51" s="194">
        <f>K50/K4</f>
        <v>-3.0191387087587142E-2</v>
      </c>
      <c r="L51" s="194">
        <f t="shared" ref="L51:M51" si="26">L50/L4</f>
        <v>-7.7075352161027457E-3</v>
      </c>
      <c r="M51" s="194">
        <f t="shared" si="26"/>
        <v>1.5291993927219669E-2</v>
      </c>
      <c r="N51" s="165"/>
    </row>
    <row r="57" spans="2:14" x14ac:dyDescent="0.3">
      <c r="I57" s="187"/>
      <c r="J57" s="187"/>
      <c r="K57" s="187"/>
      <c r="L57" s="187"/>
      <c r="M57" s="187"/>
    </row>
    <row r="58" spans="2:14" x14ac:dyDescent="0.3">
      <c r="I58" s="187"/>
      <c r="J58" s="187"/>
      <c r="K58" s="187"/>
      <c r="L58" s="187"/>
      <c r="M58" s="187"/>
    </row>
    <row r="59" spans="2:14" x14ac:dyDescent="0.3">
      <c r="I59" s="188"/>
      <c r="J59" s="189"/>
      <c r="K59" s="189"/>
      <c r="L59" s="189"/>
      <c r="M59" s="189"/>
    </row>
    <row r="60" spans="2:14" x14ac:dyDescent="0.3">
      <c r="I60" s="188"/>
      <c r="J60" s="189"/>
      <c r="K60" s="189"/>
      <c r="L60" s="189"/>
      <c r="M60" s="189"/>
    </row>
    <row r="61" spans="2:14" x14ac:dyDescent="0.3">
      <c r="I61" s="188"/>
      <c r="J61" s="189"/>
      <c r="K61" s="189"/>
      <c r="L61" s="189"/>
      <c r="M61" s="189"/>
    </row>
    <row r="62" spans="2:14" x14ac:dyDescent="0.3">
      <c r="I62" s="188"/>
      <c r="J62" s="190"/>
      <c r="K62" s="190"/>
      <c r="L62" s="190"/>
      <c r="M62" s="190"/>
    </row>
    <row r="63" spans="2:14" x14ac:dyDescent="0.3">
      <c r="I63" s="188"/>
      <c r="J63" s="190"/>
      <c r="K63" s="190"/>
      <c r="L63" s="190"/>
      <c r="M63" s="190"/>
    </row>
    <row r="64" spans="2:14" x14ac:dyDescent="0.3">
      <c r="I64" s="188"/>
      <c r="J64" s="189"/>
      <c r="K64" s="189"/>
      <c r="L64" s="189"/>
      <c r="M64" s="189"/>
    </row>
    <row r="65" spans="9:13" x14ac:dyDescent="0.3">
      <c r="I65" s="188"/>
      <c r="J65" s="190"/>
      <c r="K65" s="190"/>
      <c r="L65" s="190"/>
      <c r="M65" s="190"/>
    </row>
    <row r="66" spans="9:13" x14ac:dyDescent="0.3">
      <c r="I66" s="188"/>
      <c r="J66" s="189"/>
      <c r="K66" s="189"/>
      <c r="L66" s="189"/>
      <c r="M66" s="189"/>
    </row>
    <row r="67" spans="9:13" x14ac:dyDescent="0.3">
      <c r="I67" s="188"/>
      <c r="J67" s="190"/>
      <c r="K67" s="190"/>
      <c r="L67" s="190"/>
      <c r="M67" s="190"/>
    </row>
  </sheetData>
  <mergeCells count="4">
    <mergeCell ref="B46:J46"/>
    <mergeCell ref="B39:J39"/>
    <mergeCell ref="B1:M1"/>
    <mergeCell ref="B2:N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J79"/>
  <sheetViews>
    <sheetView zoomScale="90" zoomScaleNormal="90" workbookViewId="0">
      <pane xSplit="2" ySplit="3" topLeftCell="C63" activePane="bottomRight" state="frozen"/>
      <selection pane="topRight" activeCell="C1" sqref="C1"/>
      <selection pane="bottomLeft" activeCell="A4" sqref="A4"/>
      <selection pane="bottomRight" activeCell="G19" sqref="G19"/>
    </sheetView>
  </sheetViews>
  <sheetFormatPr defaultColWidth="8.6640625" defaultRowHeight="14.4" x14ac:dyDescent="0.3"/>
  <cols>
    <col min="1" max="1" width="3" style="1" customWidth="1"/>
    <col min="2" max="2" width="44" style="1" customWidth="1"/>
    <col min="3" max="3" width="6" style="1" customWidth="1"/>
    <col min="4" max="4" width="13.6640625" style="1" customWidth="1"/>
    <col min="5" max="8" width="16" style="1" customWidth="1"/>
    <col min="9" max="9" width="14" style="1" customWidth="1"/>
    <col min="10" max="10" width="12" style="1" customWidth="1"/>
  </cols>
  <sheetData>
    <row r="1" spans="2:10" ht="24" customHeight="1" x14ac:dyDescent="0.3">
      <c r="B1" s="209" t="s">
        <v>99</v>
      </c>
      <c r="C1" s="209"/>
      <c r="D1" s="209"/>
      <c r="E1" s="209"/>
      <c r="F1" s="209"/>
      <c r="G1" s="209"/>
      <c r="H1" s="209"/>
      <c r="I1" s="209"/>
      <c r="J1" s="209"/>
    </row>
    <row r="2" spans="2:10" ht="15" customHeight="1" x14ac:dyDescent="0.3">
      <c r="B2" s="210" t="s">
        <v>100</v>
      </c>
      <c r="C2" s="210"/>
      <c r="D2" s="210"/>
      <c r="E2" s="210"/>
      <c r="F2" s="210"/>
      <c r="G2" s="210"/>
      <c r="H2" s="210"/>
      <c r="I2" s="210"/>
      <c r="J2" s="210"/>
    </row>
    <row r="3" spans="2:10" ht="15" customHeight="1" x14ac:dyDescent="0.3">
      <c r="B3" s="17" t="s">
        <v>58</v>
      </c>
      <c r="C3" s="17" t="s">
        <v>59</v>
      </c>
      <c r="D3" s="51" t="s">
        <v>336</v>
      </c>
      <c r="E3" s="17" t="s">
        <v>39</v>
      </c>
      <c r="F3" s="17" t="s">
        <v>40</v>
      </c>
      <c r="G3" s="51" t="s">
        <v>337</v>
      </c>
      <c r="H3" s="51" t="s">
        <v>338</v>
      </c>
      <c r="I3" s="51" t="s">
        <v>339</v>
      </c>
      <c r="J3" s="51" t="s">
        <v>340</v>
      </c>
    </row>
    <row r="4" spans="2:10" ht="15" customHeight="1" x14ac:dyDescent="0.3">
      <c r="B4" s="24" t="s">
        <v>101</v>
      </c>
      <c r="C4" s="25"/>
      <c r="D4" s="25"/>
      <c r="E4" s="26"/>
      <c r="F4" s="26"/>
      <c r="G4" s="26"/>
      <c r="H4" s="26"/>
      <c r="I4" s="26"/>
      <c r="J4" s="27"/>
    </row>
    <row r="5" spans="2:10" ht="15" customHeight="1" x14ac:dyDescent="0.3">
      <c r="B5" s="6" t="s">
        <v>102</v>
      </c>
      <c r="C5" s="28"/>
      <c r="D5" s="28"/>
      <c r="E5" s="29"/>
      <c r="F5" s="29"/>
      <c r="G5" s="29"/>
      <c r="H5" s="29"/>
      <c r="I5" s="29"/>
      <c r="J5" s="30"/>
    </row>
    <row r="6" spans="2:10" ht="15" customHeight="1" x14ac:dyDescent="0.3">
      <c r="B6" s="23" t="s">
        <v>103</v>
      </c>
      <c r="C6" s="31" t="s">
        <v>104</v>
      </c>
      <c r="D6" s="18">
        <v>25143935</v>
      </c>
      <c r="E6" s="18">
        <v>19177524</v>
      </c>
      <c r="F6" s="18">
        <v>21755165</v>
      </c>
      <c r="G6" s="32">
        <f>E6-D6</f>
        <v>-5966411</v>
      </c>
      <c r="H6" s="33">
        <f>IF(D6=0,"n.a",(G6/D6))</f>
        <v>-0.23729026502812706</v>
      </c>
      <c r="I6" s="32">
        <f>F6-E6</f>
        <v>2577641</v>
      </c>
      <c r="J6" s="33">
        <f>IF(E6=0, "n.a", I6/E6)</f>
        <v>0.1344094785124503</v>
      </c>
    </row>
    <row r="7" spans="2:10" ht="15" customHeight="1" x14ac:dyDescent="0.3">
      <c r="B7" s="20" t="s">
        <v>105</v>
      </c>
      <c r="C7" s="28" t="s">
        <v>106</v>
      </c>
      <c r="D7" s="21">
        <v>2225788</v>
      </c>
      <c r="E7" s="21">
        <v>1747595</v>
      </c>
      <c r="F7" s="21">
        <v>304955</v>
      </c>
      <c r="G7" s="29">
        <f t="shared" ref="G7:G20" si="0">E7-D7</f>
        <v>-478193</v>
      </c>
      <c r="H7" s="30">
        <f t="shared" ref="H7:H21" si="1">IF(D7=0,"n.a",(G7/D7))</f>
        <v>-0.2148421143433247</v>
      </c>
      <c r="I7" s="29">
        <f t="shared" ref="I7:I21" si="2">F7-E7</f>
        <v>-1442640</v>
      </c>
      <c r="J7" s="30">
        <f t="shared" ref="J7:J21" si="3">IF(E7=0, "n.a", I7/E7)</f>
        <v>-0.82550018740039888</v>
      </c>
    </row>
    <row r="8" spans="2:10" ht="15" customHeight="1" x14ac:dyDescent="0.3">
      <c r="B8" s="23" t="s">
        <v>107</v>
      </c>
      <c r="C8" s="31" t="s">
        <v>108</v>
      </c>
      <c r="D8" s="18">
        <v>0</v>
      </c>
      <c r="E8" s="18">
        <v>1000000</v>
      </c>
      <c r="F8" s="18">
        <v>1000000</v>
      </c>
      <c r="G8" s="32">
        <f t="shared" si="0"/>
        <v>1000000</v>
      </c>
      <c r="H8" s="33" t="str">
        <f t="shared" si="1"/>
        <v>n.a</v>
      </c>
      <c r="I8" s="32">
        <f t="shared" si="2"/>
        <v>0</v>
      </c>
      <c r="J8" s="33">
        <f t="shared" si="3"/>
        <v>0</v>
      </c>
    </row>
    <row r="9" spans="2:10" ht="15" customHeight="1" x14ac:dyDescent="0.3">
      <c r="B9" s="20" t="s">
        <v>109</v>
      </c>
      <c r="C9" s="28" t="s">
        <v>110</v>
      </c>
      <c r="D9" s="21">
        <v>598017</v>
      </c>
      <c r="E9" s="21">
        <v>260228</v>
      </c>
      <c r="F9" s="21">
        <v>268342</v>
      </c>
      <c r="G9" s="29">
        <f t="shared" si="0"/>
        <v>-337789</v>
      </c>
      <c r="H9" s="30">
        <f t="shared" si="1"/>
        <v>-0.56484849092918765</v>
      </c>
      <c r="I9" s="29">
        <f t="shared" si="2"/>
        <v>8114</v>
      </c>
      <c r="J9" s="30">
        <f t="shared" si="3"/>
        <v>3.1180349539634476E-2</v>
      </c>
    </row>
    <row r="10" spans="2:10" ht="15" customHeight="1" x14ac:dyDescent="0.3">
      <c r="B10" s="23" t="s">
        <v>111</v>
      </c>
      <c r="C10" s="31" t="s">
        <v>112</v>
      </c>
      <c r="D10" s="18">
        <v>3227</v>
      </c>
      <c r="E10" s="18">
        <v>199741</v>
      </c>
      <c r="F10" s="18">
        <v>278951</v>
      </c>
      <c r="G10" s="32">
        <f t="shared" si="0"/>
        <v>196514</v>
      </c>
      <c r="H10" s="33">
        <f t="shared" si="1"/>
        <v>60.896808180973039</v>
      </c>
      <c r="I10" s="32">
        <f t="shared" si="2"/>
        <v>79210</v>
      </c>
      <c r="J10" s="33">
        <f t="shared" si="3"/>
        <v>0.3965635497969871</v>
      </c>
    </row>
    <row r="11" spans="2:10" ht="15" customHeight="1" x14ac:dyDescent="0.3">
      <c r="B11" s="20" t="s">
        <v>113</v>
      </c>
      <c r="C11" s="28" t="s">
        <v>114</v>
      </c>
      <c r="D11" s="21">
        <v>505161</v>
      </c>
      <c r="E11" s="21">
        <v>1581770</v>
      </c>
      <c r="F11" s="21">
        <v>2730813</v>
      </c>
      <c r="G11" s="29">
        <f t="shared" si="0"/>
        <v>1076609</v>
      </c>
      <c r="H11" s="30">
        <f t="shared" si="1"/>
        <v>2.1312195517864603</v>
      </c>
      <c r="I11" s="29">
        <f t="shared" si="2"/>
        <v>1149043</v>
      </c>
      <c r="J11" s="30">
        <f t="shared" si="3"/>
        <v>0.72642862110167727</v>
      </c>
    </row>
    <row r="12" spans="2:10" ht="15" customHeight="1" x14ac:dyDescent="0.3">
      <c r="B12" s="23" t="s">
        <v>115</v>
      </c>
      <c r="C12" s="31" t="s">
        <v>116</v>
      </c>
      <c r="D12" s="18">
        <v>1965265</v>
      </c>
      <c r="E12" s="18">
        <v>1025454</v>
      </c>
      <c r="F12" s="18">
        <v>1237595</v>
      </c>
      <c r="G12" s="32">
        <f t="shared" si="0"/>
        <v>-939811</v>
      </c>
      <c r="H12" s="33">
        <f t="shared" si="1"/>
        <v>-0.47821082652975555</v>
      </c>
      <c r="I12" s="32">
        <f t="shared" si="2"/>
        <v>212141</v>
      </c>
      <c r="J12" s="33">
        <f t="shared" si="3"/>
        <v>0.20687519869248158</v>
      </c>
    </row>
    <row r="13" spans="2:10" ht="15" customHeight="1" x14ac:dyDescent="0.3">
      <c r="B13" s="20" t="s">
        <v>117</v>
      </c>
      <c r="C13" s="28" t="s">
        <v>116</v>
      </c>
      <c r="D13" s="21">
        <v>247024</v>
      </c>
      <c r="E13" s="21">
        <v>392502</v>
      </c>
      <c r="F13" s="21">
        <v>463818</v>
      </c>
      <c r="G13" s="29">
        <f t="shared" si="0"/>
        <v>145478</v>
      </c>
      <c r="H13" s="30">
        <f t="shared" si="1"/>
        <v>0.58892253384286553</v>
      </c>
      <c r="I13" s="29">
        <f t="shared" si="2"/>
        <v>71316</v>
      </c>
      <c r="J13" s="30">
        <f t="shared" si="3"/>
        <v>0.18169588944769707</v>
      </c>
    </row>
    <row r="14" spans="2:10" ht="15" customHeight="1" x14ac:dyDescent="0.3">
      <c r="B14" s="23" t="s">
        <v>118</v>
      </c>
      <c r="C14" s="31" t="s">
        <v>119</v>
      </c>
      <c r="D14" s="18">
        <v>71426</v>
      </c>
      <c r="E14" s="18">
        <v>27404</v>
      </c>
      <c r="F14" s="18">
        <v>14093</v>
      </c>
      <c r="G14" s="32">
        <f t="shared" si="0"/>
        <v>-44022</v>
      </c>
      <c r="H14" s="33">
        <f t="shared" si="1"/>
        <v>-0.61633018788676397</v>
      </c>
      <c r="I14" s="32">
        <f t="shared" si="2"/>
        <v>-13311</v>
      </c>
      <c r="J14" s="33">
        <f t="shared" si="3"/>
        <v>-0.48573200992555832</v>
      </c>
    </row>
    <row r="15" spans="2:10" ht="15" customHeight="1" x14ac:dyDescent="0.3">
      <c r="B15" s="20" t="s">
        <v>120</v>
      </c>
      <c r="C15" s="28" t="s">
        <v>121</v>
      </c>
      <c r="D15" s="21">
        <v>1256234</v>
      </c>
      <c r="E15" s="21">
        <v>66853</v>
      </c>
      <c r="F15" s="21">
        <v>177814</v>
      </c>
      <c r="G15" s="29">
        <f t="shared" si="0"/>
        <v>-1189381</v>
      </c>
      <c r="H15" s="30">
        <f t="shared" si="1"/>
        <v>-0.9467830038034315</v>
      </c>
      <c r="I15" s="29">
        <f t="shared" si="2"/>
        <v>110961</v>
      </c>
      <c r="J15" s="30">
        <f t="shared" si="3"/>
        <v>1.6597759262860305</v>
      </c>
    </row>
    <row r="16" spans="2:10" ht="15" customHeight="1" x14ac:dyDescent="0.3">
      <c r="B16" s="23" t="s">
        <v>122</v>
      </c>
      <c r="C16" s="31" t="s">
        <v>123</v>
      </c>
      <c r="D16" s="18">
        <v>288174</v>
      </c>
      <c r="E16" s="18">
        <v>138103</v>
      </c>
      <c r="F16" s="18">
        <v>196792</v>
      </c>
      <c r="G16" s="32">
        <f t="shared" si="0"/>
        <v>-150071</v>
      </c>
      <c r="H16" s="33">
        <f t="shared" si="1"/>
        <v>-0.52076523211670722</v>
      </c>
      <c r="I16" s="32">
        <f t="shared" si="2"/>
        <v>58689</v>
      </c>
      <c r="J16" s="33">
        <f t="shared" si="3"/>
        <v>0.42496542435718271</v>
      </c>
    </row>
    <row r="17" spans="2:10" ht="15" customHeight="1" x14ac:dyDescent="0.3">
      <c r="B17" s="20" t="s">
        <v>124</v>
      </c>
      <c r="C17" s="28" t="s">
        <v>125</v>
      </c>
      <c r="D17" s="21">
        <v>23858</v>
      </c>
      <c r="E17" s="21">
        <v>6561</v>
      </c>
      <c r="F17" s="21">
        <v>8188</v>
      </c>
      <c r="G17" s="29">
        <f t="shared" si="0"/>
        <v>-17297</v>
      </c>
      <c r="H17" s="30">
        <f t="shared" si="1"/>
        <v>-0.72499790426691257</v>
      </c>
      <c r="I17" s="29">
        <f t="shared" si="2"/>
        <v>1627</v>
      </c>
      <c r="J17" s="30">
        <f t="shared" si="3"/>
        <v>0.24798049077884468</v>
      </c>
    </row>
    <row r="18" spans="2:10" ht="15" customHeight="1" x14ac:dyDescent="0.3">
      <c r="B18" s="23" t="s">
        <v>126</v>
      </c>
      <c r="C18" s="31" t="s">
        <v>125</v>
      </c>
      <c r="D18" s="18">
        <v>890457</v>
      </c>
      <c r="E18" s="18">
        <v>711117</v>
      </c>
      <c r="F18" s="18">
        <v>621903</v>
      </c>
      <c r="G18" s="32">
        <f t="shared" si="0"/>
        <v>-179340</v>
      </c>
      <c r="H18" s="33">
        <f t="shared" si="1"/>
        <v>-0.20140220134155831</v>
      </c>
      <c r="I18" s="32">
        <f t="shared" si="2"/>
        <v>-89214</v>
      </c>
      <c r="J18" s="33">
        <f t="shared" si="3"/>
        <v>-0.12545614856626969</v>
      </c>
    </row>
    <row r="19" spans="2:10" ht="15" customHeight="1" x14ac:dyDescent="0.3">
      <c r="B19" s="53" t="s">
        <v>342</v>
      </c>
      <c r="C19" s="28" t="s">
        <v>127</v>
      </c>
      <c r="D19" s="21">
        <v>388611</v>
      </c>
      <c r="E19" s="21">
        <v>2840</v>
      </c>
      <c r="F19" s="21">
        <v>797</v>
      </c>
      <c r="G19" s="29">
        <f t="shared" si="0"/>
        <v>-385771</v>
      </c>
      <c r="H19" s="30">
        <f t="shared" si="1"/>
        <v>-0.99269192071248624</v>
      </c>
      <c r="I19" s="29">
        <f t="shared" si="2"/>
        <v>-2043</v>
      </c>
      <c r="J19" s="30">
        <f t="shared" si="3"/>
        <v>-0.71936619718309858</v>
      </c>
    </row>
    <row r="20" spans="2:10" ht="15" customHeight="1" x14ac:dyDescent="0.3">
      <c r="B20" s="52" t="s">
        <v>341</v>
      </c>
      <c r="C20" s="31"/>
      <c r="D20" s="18">
        <v>10114</v>
      </c>
      <c r="E20" s="18">
        <v>0</v>
      </c>
      <c r="F20" s="18">
        <v>0</v>
      </c>
      <c r="G20" s="32">
        <f t="shared" si="0"/>
        <v>-10114</v>
      </c>
      <c r="H20" s="33">
        <f t="shared" si="1"/>
        <v>-1</v>
      </c>
      <c r="I20" s="32">
        <f t="shared" si="2"/>
        <v>0</v>
      </c>
      <c r="J20" s="33" t="str">
        <f t="shared" si="3"/>
        <v>n.a</v>
      </c>
    </row>
    <row r="21" spans="2:10" ht="15" customHeight="1" x14ac:dyDescent="0.3">
      <c r="B21" s="24" t="s">
        <v>128</v>
      </c>
      <c r="C21" s="25"/>
      <c r="D21" s="26">
        <f>SUM(D6:D20)</f>
        <v>33617291</v>
      </c>
      <c r="E21" s="26">
        <f t="shared" ref="E21:F21" si="4">SUM(E6:E20)</f>
        <v>26337692</v>
      </c>
      <c r="F21" s="26">
        <f t="shared" si="4"/>
        <v>29059226</v>
      </c>
      <c r="G21" s="26">
        <f t="shared" ref="G21" si="5">E21-D21</f>
        <v>-7279599</v>
      </c>
      <c r="H21" s="27">
        <f t="shared" si="1"/>
        <v>-0.21654329612698417</v>
      </c>
      <c r="I21" s="26">
        <f t="shared" si="2"/>
        <v>2721534</v>
      </c>
      <c r="J21" s="27">
        <f t="shared" si="3"/>
        <v>0.10333228894923671</v>
      </c>
    </row>
    <row r="22" spans="2:10" ht="15" customHeight="1" x14ac:dyDescent="0.3">
      <c r="B22" s="6"/>
      <c r="C22" s="28"/>
      <c r="D22" s="29"/>
      <c r="E22" s="29"/>
      <c r="F22" s="29"/>
      <c r="G22" s="29"/>
      <c r="H22" s="30"/>
      <c r="I22" s="29"/>
      <c r="J22" s="30"/>
    </row>
    <row r="23" spans="2:10" ht="15" customHeight="1" x14ac:dyDescent="0.3">
      <c r="B23" s="8" t="s">
        <v>129</v>
      </c>
      <c r="C23" s="31"/>
      <c r="D23" s="32"/>
      <c r="E23" s="32"/>
      <c r="F23" s="32"/>
      <c r="G23" s="32"/>
      <c r="H23" s="33"/>
      <c r="I23" s="32"/>
      <c r="J23" s="33"/>
    </row>
    <row r="24" spans="2:10" ht="15" customHeight="1" x14ac:dyDescent="0.3">
      <c r="B24" s="20" t="s">
        <v>130</v>
      </c>
      <c r="C24" s="28" t="s">
        <v>116</v>
      </c>
      <c r="D24" s="21">
        <v>146208</v>
      </c>
      <c r="E24" s="21">
        <v>607599</v>
      </c>
      <c r="F24" s="21">
        <v>461835</v>
      </c>
      <c r="G24" s="29">
        <f t="shared" ref="G24:G33" si="6">E24-D24</f>
        <v>461391</v>
      </c>
      <c r="H24" s="30">
        <f t="shared" ref="H24:H33" si="7">IF(D24=0,"n.a",(G24/D24))</f>
        <v>3.1557165134602756</v>
      </c>
      <c r="I24" s="29">
        <f t="shared" ref="I24:I33" si="8">F24-E24</f>
        <v>-145764</v>
      </c>
      <c r="J24" s="30">
        <f t="shared" ref="J24:J33" si="9">IF(E24=0, "n.a", I24/E24)</f>
        <v>-0.23990164565774466</v>
      </c>
    </row>
    <row r="25" spans="2:10" ht="15" customHeight="1" x14ac:dyDescent="0.3">
      <c r="B25" s="23" t="s">
        <v>131</v>
      </c>
      <c r="C25" s="31" t="s">
        <v>132</v>
      </c>
      <c r="D25" s="18">
        <v>8036379</v>
      </c>
      <c r="E25" s="18">
        <v>1451268</v>
      </c>
      <c r="F25" s="18">
        <v>1565101</v>
      </c>
      <c r="G25" s="32">
        <f t="shared" si="6"/>
        <v>-6585111</v>
      </c>
      <c r="H25" s="33">
        <f t="shared" si="7"/>
        <v>-0.81941269818160645</v>
      </c>
      <c r="I25" s="32">
        <f t="shared" si="8"/>
        <v>113833</v>
      </c>
      <c r="J25" s="33">
        <f t="shared" si="9"/>
        <v>7.8436925502388261E-2</v>
      </c>
    </row>
    <row r="26" spans="2:10" ht="15" customHeight="1" x14ac:dyDescent="0.3">
      <c r="B26" s="20" t="s">
        <v>133</v>
      </c>
      <c r="C26" s="28" t="s">
        <v>134</v>
      </c>
      <c r="D26" s="21">
        <v>1038618</v>
      </c>
      <c r="E26" s="21">
        <v>456997</v>
      </c>
      <c r="F26" s="21">
        <v>622356</v>
      </c>
      <c r="G26" s="29">
        <f t="shared" si="6"/>
        <v>-581621</v>
      </c>
      <c r="H26" s="30">
        <f t="shared" si="7"/>
        <v>-0.55999510888507609</v>
      </c>
      <c r="I26" s="29">
        <f t="shared" si="8"/>
        <v>165359</v>
      </c>
      <c r="J26" s="30">
        <f t="shared" si="9"/>
        <v>0.36183826152031634</v>
      </c>
    </row>
    <row r="27" spans="2:10" ht="15" customHeight="1" x14ac:dyDescent="0.3">
      <c r="B27" s="23" t="s">
        <v>135</v>
      </c>
      <c r="C27" s="31" t="s">
        <v>136</v>
      </c>
      <c r="D27" s="18">
        <v>3119605</v>
      </c>
      <c r="E27" s="18">
        <v>10416327</v>
      </c>
      <c r="F27" s="18">
        <v>10594799</v>
      </c>
      <c r="G27" s="32">
        <f t="shared" si="6"/>
        <v>7296722</v>
      </c>
      <c r="H27" s="33">
        <f t="shared" si="7"/>
        <v>2.3389890707317114</v>
      </c>
      <c r="I27" s="32">
        <f t="shared" si="8"/>
        <v>178472</v>
      </c>
      <c r="J27" s="33">
        <f t="shared" si="9"/>
        <v>1.7133870701255827E-2</v>
      </c>
    </row>
    <row r="28" spans="2:10" ht="15" customHeight="1" x14ac:dyDescent="0.3">
      <c r="B28" s="20" t="s">
        <v>137</v>
      </c>
      <c r="C28" s="28"/>
      <c r="D28" s="21">
        <v>360693</v>
      </c>
      <c r="E28" s="21">
        <v>411108</v>
      </c>
      <c r="F28" s="21">
        <v>503054</v>
      </c>
      <c r="G28" s="29">
        <f t="shared" si="6"/>
        <v>50415</v>
      </c>
      <c r="H28" s="30">
        <f t="shared" si="7"/>
        <v>0.13977260440319053</v>
      </c>
      <c r="I28" s="29">
        <f t="shared" si="8"/>
        <v>91946</v>
      </c>
      <c r="J28" s="30">
        <f t="shared" si="9"/>
        <v>0.22365412495013476</v>
      </c>
    </row>
    <row r="29" spans="2:10" ht="15" customHeight="1" x14ac:dyDescent="0.3">
      <c r="B29" s="23" t="s">
        <v>138</v>
      </c>
      <c r="C29" s="31" t="s">
        <v>127</v>
      </c>
      <c r="D29" s="18">
        <v>3581563</v>
      </c>
      <c r="E29" s="18">
        <v>3047655</v>
      </c>
      <c r="F29" s="18">
        <v>2327235</v>
      </c>
      <c r="G29" s="32">
        <f t="shared" si="6"/>
        <v>-533908</v>
      </c>
      <c r="H29" s="33">
        <f t="shared" si="7"/>
        <v>-0.14907122951627544</v>
      </c>
      <c r="I29" s="32">
        <f t="shared" si="8"/>
        <v>-720420</v>
      </c>
      <c r="J29" s="33">
        <f t="shared" si="9"/>
        <v>-0.23638502389542124</v>
      </c>
    </row>
    <row r="30" spans="2:10" ht="15" customHeight="1" x14ac:dyDescent="0.3">
      <c r="B30" s="20" t="s">
        <v>139</v>
      </c>
      <c r="C30" s="28" t="s">
        <v>140</v>
      </c>
      <c r="D30" s="21">
        <v>12639</v>
      </c>
      <c r="E30" s="21">
        <v>5421</v>
      </c>
      <c r="F30" s="21">
        <v>54079</v>
      </c>
      <c r="G30" s="29">
        <f t="shared" si="6"/>
        <v>-7218</v>
      </c>
      <c r="H30" s="30">
        <f t="shared" si="7"/>
        <v>-0.57108948492760503</v>
      </c>
      <c r="I30" s="29">
        <f t="shared" si="8"/>
        <v>48658</v>
      </c>
      <c r="J30" s="30">
        <f t="shared" si="9"/>
        <v>8.975834716841911</v>
      </c>
    </row>
    <row r="31" spans="2:10" ht="15" customHeight="1" x14ac:dyDescent="0.3">
      <c r="B31" s="23" t="s">
        <v>141</v>
      </c>
      <c r="C31" s="31" t="s">
        <v>79</v>
      </c>
      <c r="D31" s="18">
        <v>4065549</v>
      </c>
      <c r="E31" s="18">
        <v>372575</v>
      </c>
      <c r="F31" s="18">
        <v>15745</v>
      </c>
      <c r="G31" s="32">
        <f t="shared" si="6"/>
        <v>-3692974</v>
      </c>
      <c r="H31" s="33">
        <f t="shared" si="7"/>
        <v>-0.90835801019739282</v>
      </c>
      <c r="I31" s="32">
        <f t="shared" si="8"/>
        <v>-356830</v>
      </c>
      <c r="J31" s="33">
        <f t="shared" si="9"/>
        <v>-0.95774005233845538</v>
      </c>
    </row>
    <row r="32" spans="2:10" ht="15" customHeight="1" x14ac:dyDescent="0.3">
      <c r="B32" s="20" t="s">
        <v>142</v>
      </c>
      <c r="C32" s="28"/>
      <c r="D32" s="21">
        <v>118711</v>
      </c>
      <c r="E32" s="21">
        <v>101242</v>
      </c>
      <c r="F32" s="21">
        <v>554212</v>
      </c>
      <c r="G32" s="29">
        <f t="shared" si="6"/>
        <v>-17469</v>
      </c>
      <c r="H32" s="30">
        <f t="shared" si="7"/>
        <v>-0.14715569745010992</v>
      </c>
      <c r="I32" s="29">
        <f t="shared" si="8"/>
        <v>452970</v>
      </c>
      <c r="J32" s="30">
        <f t="shared" si="9"/>
        <v>4.474131289385828</v>
      </c>
    </row>
    <row r="33" spans="2:10" ht="15" customHeight="1" x14ac:dyDescent="0.3">
      <c r="B33" s="24" t="s">
        <v>143</v>
      </c>
      <c r="C33" s="25"/>
      <c r="D33" s="26">
        <f>SUM(D24:D32)</f>
        <v>20479965</v>
      </c>
      <c r="E33" s="26">
        <f>SUM(E24:E32)</f>
        <v>16870192</v>
      </c>
      <c r="F33" s="26">
        <f>SUM(F24:F32)</f>
        <v>16698416</v>
      </c>
      <c r="G33" s="26">
        <f t="shared" si="6"/>
        <v>-3609773</v>
      </c>
      <c r="H33" s="27">
        <f t="shared" si="7"/>
        <v>-0.17625874848907214</v>
      </c>
      <c r="I33" s="26">
        <f t="shared" si="8"/>
        <v>-171776</v>
      </c>
      <c r="J33" s="27">
        <f t="shared" si="9"/>
        <v>-1.0182219621448291E-2</v>
      </c>
    </row>
    <row r="34" spans="2:10" ht="15" customHeight="1" x14ac:dyDescent="0.3">
      <c r="B34" s="6"/>
      <c r="C34" s="28"/>
      <c r="D34" s="29"/>
      <c r="E34" s="29"/>
      <c r="F34" s="29"/>
      <c r="G34" s="29"/>
      <c r="H34" s="30"/>
      <c r="I34" s="29"/>
      <c r="J34" s="30"/>
    </row>
    <row r="35" spans="2:10" ht="15" customHeight="1" x14ac:dyDescent="0.3">
      <c r="B35" s="24" t="s">
        <v>144</v>
      </c>
      <c r="C35" s="25"/>
      <c r="D35" s="26">
        <f>D21+D33</f>
        <v>54097256</v>
      </c>
      <c r="E35" s="26">
        <f>E21+E33</f>
        <v>43207884</v>
      </c>
      <c r="F35" s="26">
        <f>F21+F33</f>
        <v>45757642</v>
      </c>
      <c r="G35" s="26">
        <f>E35-D35</f>
        <v>-10889372</v>
      </c>
      <c r="H35" s="27">
        <f>IF(OR(D35=0,E35=0),"n.a",(G35/D35))</f>
        <v>-0.20129250178604252</v>
      </c>
      <c r="I35" s="26">
        <f>F35-E35</f>
        <v>2549758</v>
      </c>
      <c r="J35" s="27">
        <f t="shared" ref="J35" si="10">IF(E35=0, "n.a", I35/E35)</f>
        <v>5.9011406344268096E-2</v>
      </c>
    </row>
    <row r="36" spans="2:10" ht="15" customHeight="1" x14ac:dyDescent="0.3">
      <c r="B36" s="6"/>
      <c r="C36" s="28"/>
      <c r="D36" s="29"/>
      <c r="E36" s="29"/>
      <c r="F36" s="29"/>
      <c r="G36" s="29"/>
      <c r="H36" s="30"/>
      <c r="I36" s="29"/>
      <c r="J36" s="30"/>
    </row>
    <row r="37" spans="2:10" ht="15" customHeight="1" x14ac:dyDescent="0.3">
      <c r="B37" s="24" t="s">
        <v>145</v>
      </c>
      <c r="C37" s="25"/>
      <c r="D37" s="26"/>
      <c r="E37" s="26"/>
      <c r="F37" s="26"/>
      <c r="G37" s="26"/>
      <c r="H37" s="27"/>
      <c r="I37" s="26"/>
      <c r="J37" s="27"/>
    </row>
    <row r="38" spans="2:10" ht="15" customHeight="1" x14ac:dyDescent="0.3">
      <c r="B38" s="6" t="s">
        <v>146</v>
      </c>
      <c r="C38" s="28"/>
      <c r="D38" s="29"/>
      <c r="E38" s="29"/>
      <c r="F38" s="29"/>
      <c r="G38" s="29"/>
      <c r="H38" s="30"/>
      <c r="I38" s="29"/>
      <c r="J38" s="30"/>
    </row>
    <row r="39" spans="2:10" ht="15" customHeight="1" x14ac:dyDescent="0.3">
      <c r="B39" s="23" t="s">
        <v>147</v>
      </c>
      <c r="C39" s="31" t="s">
        <v>148</v>
      </c>
      <c r="D39" s="18">
        <v>1341240</v>
      </c>
      <c r="E39" s="18">
        <v>1054163</v>
      </c>
      <c r="F39" s="18">
        <v>1129649</v>
      </c>
      <c r="G39" s="32">
        <f t="shared" ref="G39:G52" si="11">E39-D39</f>
        <v>-287077</v>
      </c>
      <c r="H39" s="33">
        <f t="shared" ref="H39:H52" si="12">IF(D39=0,"n.a",(G39/D39))</f>
        <v>-0.2140385016850079</v>
      </c>
      <c r="I39" s="32">
        <f t="shared" ref="I39:I52" si="13">F39-E39</f>
        <v>75486</v>
      </c>
      <c r="J39" s="33">
        <f t="shared" ref="J39:J52" si="14">IF(E39=0, "n.a", I39/E39)</f>
        <v>7.1607521796913765E-2</v>
      </c>
    </row>
    <row r="40" spans="2:10" ht="15" customHeight="1" x14ac:dyDescent="0.3">
      <c r="B40" s="20" t="s">
        <v>149</v>
      </c>
      <c r="C40" s="28" t="s">
        <v>112</v>
      </c>
      <c r="D40" s="21">
        <v>0</v>
      </c>
      <c r="E40" s="21">
        <v>186722</v>
      </c>
      <c r="F40" s="21">
        <v>124740</v>
      </c>
      <c r="G40" s="29">
        <f t="shared" si="11"/>
        <v>186722</v>
      </c>
      <c r="H40" s="30" t="str">
        <f t="shared" si="12"/>
        <v>n.a</v>
      </c>
      <c r="I40" s="29">
        <f t="shared" si="13"/>
        <v>-61982</v>
      </c>
      <c r="J40" s="30">
        <f t="shared" si="14"/>
        <v>-0.33194802969119869</v>
      </c>
    </row>
    <row r="41" spans="2:10" ht="15" customHeight="1" x14ac:dyDescent="0.3">
      <c r="B41" s="23" t="s">
        <v>150</v>
      </c>
      <c r="C41" s="31" t="s">
        <v>151</v>
      </c>
      <c r="D41" s="18">
        <v>5380396</v>
      </c>
      <c r="E41" s="18">
        <v>2310683</v>
      </c>
      <c r="F41" s="18">
        <v>2623458</v>
      </c>
      <c r="G41" s="32">
        <f t="shared" si="11"/>
        <v>-3069713</v>
      </c>
      <c r="H41" s="33">
        <f t="shared" si="12"/>
        <v>-0.57053662964584761</v>
      </c>
      <c r="I41" s="32">
        <f t="shared" si="13"/>
        <v>312775</v>
      </c>
      <c r="J41" s="33">
        <f t="shared" si="14"/>
        <v>0.13536041075301111</v>
      </c>
    </row>
    <row r="42" spans="2:10" ht="15" customHeight="1" x14ac:dyDescent="0.3">
      <c r="B42" s="20" t="s">
        <v>152</v>
      </c>
      <c r="C42" s="28" t="s">
        <v>151</v>
      </c>
      <c r="D42" s="21">
        <v>117635</v>
      </c>
      <c r="E42" s="21">
        <v>241097</v>
      </c>
      <c r="F42" s="21">
        <v>419920</v>
      </c>
      <c r="G42" s="29">
        <f t="shared" si="11"/>
        <v>123462</v>
      </c>
      <c r="H42" s="30">
        <f t="shared" si="12"/>
        <v>1.0495345772941727</v>
      </c>
      <c r="I42" s="29">
        <f t="shared" si="13"/>
        <v>178823</v>
      </c>
      <c r="J42" s="30">
        <f t="shared" si="14"/>
        <v>0.74170562055935996</v>
      </c>
    </row>
    <row r="43" spans="2:10" ht="15" customHeight="1" x14ac:dyDescent="0.3">
      <c r="B43" s="23" t="s">
        <v>153</v>
      </c>
      <c r="C43" s="31" t="s">
        <v>61</v>
      </c>
      <c r="D43" s="18">
        <v>205208</v>
      </c>
      <c r="E43" s="18">
        <v>78198</v>
      </c>
      <c r="F43" s="18">
        <v>69012</v>
      </c>
      <c r="G43" s="32">
        <f t="shared" si="11"/>
        <v>-127010</v>
      </c>
      <c r="H43" s="33">
        <f t="shared" si="12"/>
        <v>-0.61893298506880823</v>
      </c>
      <c r="I43" s="32">
        <f t="shared" si="13"/>
        <v>-9186</v>
      </c>
      <c r="J43" s="33">
        <f t="shared" si="14"/>
        <v>-0.11747103506483542</v>
      </c>
    </row>
    <row r="44" spans="2:10" ht="15" customHeight="1" x14ac:dyDescent="0.3">
      <c r="B44" s="20" t="s">
        <v>154</v>
      </c>
      <c r="C44" s="28" t="s">
        <v>155</v>
      </c>
      <c r="D44" s="21">
        <v>4027375</v>
      </c>
      <c r="E44" s="21">
        <v>3314874</v>
      </c>
      <c r="F44" s="21">
        <v>3939255</v>
      </c>
      <c r="G44" s="29">
        <f t="shared" si="11"/>
        <v>-712501</v>
      </c>
      <c r="H44" s="30">
        <f t="shared" si="12"/>
        <v>-0.17691449144914492</v>
      </c>
      <c r="I44" s="29">
        <f t="shared" si="13"/>
        <v>624381</v>
      </c>
      <c r="J44" s="30">
        <f t="shared" si="14"/>
        <v>0.18835738552958575</v>
      </c>
    </row>
    <row r="45" spans="2:10" ht="15" customHeight="1" x14ac:dyDescent="0.3">
      <c r="B45" s="23" t="s">
        <v>156</v>
      </c>
      <c r="C45" s="31" t="s">
        <v>157</v>
      </c>
      <c r="D45" s="18">
        <v>563287</v>
      </c>
      <c r="E45" s="18">
        <v>365648</v>
      </c>
      <c r="F45" s="18">
        <v>600178</v>
      </c>
      <c r="G45" s="32">
        <f t="shared" si="11"/>
        <v>-197639</v>
      </c>
      <c r="H45" s="33">
        <f t="shared" si="12"/>
        <v>-0.35086731985648523</v>
      </c>
      <c r="I45" s="32">
        <f t="shared" si="13"/>
        <v>234530</v>
      </c>
      <c r="J45" s="33">
        <f t="shared" si="14"/>
        <v>0.64140922417188118</v>
      </c>
    </row>
    <row r="46" spans="2:10" ht="15" customHeight="1" x14ac:dyDescent="0.3">
      <c r="B46" s="20" t="s">
        <v>158</v>
      </c>
      <c r="C46" s="28" t="s">
        <v>159</v>
      </c>
      <c r="D46" s="21">
        <v>41454</v>
      </c>
      <c r="E46" s="21">
        <v>171864</v>
      </c>
      <c r="F46" s="21">
        <v>23652</v>
      </c>
      <c r="G46" s="29">
        <f t="shared" si="11"/>
        <v>130410</v>
      </c>
      <c r="H46" s="30">
        <f t="shared" si="12"/>
        <v>3.1458966565349544</v>
      </c>
      <c r="I46" s="29">
        <f t="shared" si="13"/>
        <v>-148212</v>
      </c>
      <c r="J46" s="30">
        <f t="shared" si="14"/>
        <v>-0.86237955592794302</v>
      </c>
    </row>
    <row r="47" spans="2:10" ht="15" customHeight="1" x14ac:dyDescent="0.3">
      <c r="B47" s="23" t="s">
        <v>160</v>
      </c>
      <c r="C47" s="31" t="s">
        <v>159</v>
      </c>
      <c r="D47" s="18">
        <v>243245</v>
      </c>
      <c r="E47" s="18">
        <v>112222</v>
      </c>
      <c r="F47" s="18">
        <v>193902</v>
      </c>
      <c r="G47" s="32">
        <f t="shared" si="11"/>
        <v>-131023</v>
      </c>
      <c r="H47" s="33">
        <f t="shared" si="12"/>
        <v>-0.53864622088840475</v>
      </c>
      <c r="I47" s="32">
        <f t="shared" si="13"/>
        <v>81680</v>
      </c>
      <c r="J47" s="33">
        <f t="shared" si="14"/>
        <v>0.72784302543173351</v>
      </c>
    </row>
    <row r="48" spans="2:10" ht="15" customHeight="1" x14ac:dyDescent="0.3">
      <c r="B48" s="20" t="s">
        <v>161</v>
      </c>
      <c r="C48" s="28" t="s">
        <v>108</v>
      </c>
      <c r="D48" s="21">
        <v>299983</v>
      </c>
      <c r="E48" s="21">
        <v>1351796</v>
      </c>
      <c r="F48" s="21">
        <v>1001625</v>
      </c>
      <c r="G48" s="29">
        <f t="shared" si="11"/>
        <v>1051813</v>
      </c>
      <c r="H48" s="30">
        <f t="shared" si="12"/>
        <v>3.5062420203811548</v>
      </c>
      <c r="I48" s="29">
        <f t="shared" si="13"/>
        <v>-350171</v>
      </c>
      <c r="J48" s="30">
        <f t="shared" si="14"/>
        <v>-0.2590413050489867</v>
      </c>
    </row>
    <row r="49" spans="2:10" ht="15" customHeight="1" x14ac:dyDescent="0.3">
      <c r="B49" s="23" t="s">
        <v>162</v>
      </c>
      <c r="C49" s="31" t="s">
        <v>163</v>
      </c>
      <c r="D49" s="18">
        <v>414980</v>
      </c>
      <c r="E49" s="18">
        <v>677997</v>
      </c>
      <c r="F49" s="18">
        <v>318389</v>
      </c>
      <c r="G49" s="32">
        <f t="shared" si="11"/>
        <v>263017</v>
      </c>
      <c r="H49" s="33">
        <f t="shared" si="12"/>
        <v>0.63380644850354229</v>
      </c>
      <c r="I49" s="32">
        <f t="shared" si="13"/>
        <v>-359608</v>
      </c>
      <c r="J49" s="33">
        <f t="shared" si="14"/>
        <v>-0.53039762712814364</v>
      </c>
    </row>
    <row r="50" spans="2:10" ht="15" customHeight="1" x14ac:dyDescent="0.3">
      <c r="B50" s="20" t="s">
        <v>164</v>
      </c>
      <c r="C50" s="28" t="s">
        <v>165</v>
      </c>
      <c r="D50" s="21">
        <v>25439</v>
      </c>
      <c r="E50" s="21">
        <v>121215</v>
      </c>
      <c r="F50" s="21">
        <v>137475</v>
      </c>
      <c r="G50" s="29">
        <f t="shared" si="11"/>
        <v>95776</v>
      </c>
      <c r="H50" s="30">
        <f t="shared" si="12"/>
        <v>3.7649278666614254</v>
      </c>
      <c r="I50" s="29">
        <f t="shared" si="13"/>
        <v>16260</v>
      </c>
      <c r="J50" s="30">
        <f t="shared" si="14"/>
        <v>0.13414181413191437</v>
      </c>
    </row>
    <row r="51" spans="2:10" ht="15" customHeight="1" x14ac:dyDescent="0.3">
      <c r="B51" s="23" t="s">
        <v>166</v>
      </c>
      <c r="C51" s="31" t="s">
        <v>167</v>
      </c>
      <c r="D51" s="18">
        <v>162302</v>
      </c>
      <c r="E51" s="18">
        <v>58411</v>
      </c>
      <c r="F51" s="18">
        <v>66269</v>
      </c>
      <c r="G51" s="32">
        <f t="shared" si="11"/>
        <v>-103891</v>
      </c>
      <c r="H51" s="33">
        <f t="shared" si="12"/>
        <v>-0.64010917918448329</v>
      </c>
      <c r="I51" s="32">
        <f t="shared" si="13"/>
        <v>7858</v>
      </c>
      <c r="J51" s="33">
        <f t="shared" si="14"/>
        <v>0.13452945506839464</v>
      </c>
    </row>
    <row r="52" spans="2:10" ht="15" customHeight="1" x14ac:dyDescent="0.3">
      <c r="B52" s="24" t="s">
        <v>168</v>
      </c>
      <c r="C52" s="25"/>
      <c r="D52" s="26">
        <f>SUM(D39:D51)</f>
        <v>12822544</v>
      </c>
      <c r="E52" s="26">
        <f>SUM(E39:E51)</f>
        <v>10044890</v>
      </c>
      <c r="F52" s="26">
        <f>SUM(F39:F51)</f>
        <v>10647524</v>
      </c>
      <c r="G52" s="26">
        <f t="shared" si="11"/>
        <v>-2777654</v>
      </c>
      <c r="H52" s="27">
        <f t="shared" si="12"/>
        <v>-0.21662269203365572</v>
      </c>
      <c r="I52" s="26">
        <f t="shared" si="13"/>
        <v>602634</v>
      </c>
      <c r="J52" s="27">
        <f t="shared" si="14"/>
        <v>5.999408654549726E-2</v>
      </c>
    </row>
    <row r="53" spans="2:10" ht="15" customHeight="1" x14ac:dyDescent="0.3">
      <c r="B53" s="8"/>
      <c r="C53" s="31"/>
      <c r="D53" s="32"/>
      <c r="E53" s="32"/>
      <c r="F53" s="32"/>
      <c r="G53" s="32"/>
      <c r="H53" s="33"/>
      <c r="I53" s="32"/>
      <c r="J53" s="33"/>
    </row>
    <row r="54" spans="2:10" ht="15" customHeight="1" x14ac:dyDescent="0.3">
      <c r="B54" s="6" t="s">
        <v>169</v>
      </c>
      <c r="C54" s="28"/>
      <c r="D54" s="29"/>
      <c r="E54" s="29"/>
      <c r="F54" s="29"/>
      <c r="G54" s="29"/>
      <c r="H54" s="30"/>
      <c r="I54" s="29"/>
      <c r="J54" s="30"/>
    </row>
    <row r="55" spans="2:10" ht="15" customHeight="1" x14ac:dyDescent="0.3">
      <c r="B55" s="23" t="s">
        <v>170</v>
      </c>
      <c r="C55" s="31" t="s">
        <v>140</v>
      </c>
      <c r="D55" s="18">
        <v>1915704</v>
      </c>
      <c r="E55" s="18">
        <v>20016</v>
      </c>
      <c r="F55" s="18">
        <v>18703</v>
      </c>
      <c r="G55" s="32">
        <f t="shared" ref="G55:G60" si="15">E55-D55</f>
        <v>-1895688</v>
      </c>
      <c r="H55" s="33">
        <f t="shared" ref="H55:H60" si="16">IF(D55=0,"n.a",(G55/D55))</f>
        <v>-0.98955162175367384</v>
      </c>
      <c r="I55" s="32">
        <f t="shared" ref="I55:I60" si="17">F55-E55</f>
        <v>-1313</v>
      </c>
      <c r="J55" s="33">
        <f t="shared" ref="J55:J60" si="18">IF(E55=0, "n.a", I55/E55)</f>
        <v>-6.5597521982414073E-2</v>
      </c>
    </row>
    <row r="56" spans="2:10" ht="15" customHeight="1" x14ac:dyDescent="0.3">
      <c r="B56" s="20" t="s">
        <v>171</v>
      </c>
      <c r="C56" s="28" t="s">
        <v>172</v>
      </c>
      <c r="D56" s="21">
        <v>206447</v>
      </c>
      <c r="E56" s="21">
        <v>129558</v>
      </c>
      <c r="F56" s="21">
        <v>160873</v>
      </c>
      <c r="G56" s="29">
        <f t="shared" si="15"/>
        <v>-76889</v>
      </c>
      <c r="H56" s="30">
        <f t="shared" si="16"/>
        <v>-0.37243941544318881</v>
      </c>
      <c r="I56" s="29">
        <f t="shared" si="17"/>
        <v>31315</v>
      </c>
      <c r="J56" s="30">
        <f t="shared" si="18"/>
        <v>0.24170641720310596</v>
      </c>
    </row>
    <row r="57" spans="2:10" ht="15" customHeight="1" x14ac:dyDescent="0.3">
      <c r="B57" s="23" t="s">
        <v>173</v>
      </c>
      <c r="C57" s="31" t="s">
        <v>163</v>
      </c>
      <c r="D57" s="18">
        <v>678538</v>
      </c>
      <c r="E57" s="18">
        <v>0</v>
      </c>
      <c r="F57" s="18">
        <v>3343953</v>
      </c>
      <c r="G57" s="32">
        <f t="shared" si="15"/>
        <v>-678538</v>
      </c>
      <c r="H57" s="33">
        <f t="shared" si="16"/>
        <v>-1</v>
      </c>
      <c r="I57" s="32">
        <f t="shared" si="17"/>
        <v>3343953</v>
      </c>
      <c r="J57" s="33" t="str">
        <f t="shared" si="18"/>
        <v>n.a</v>
      </c>
    </row>
    <row r="58" spans="2:10" ht="15" customHeight="1" x14ac:dyDescent="0.3">
      <c r="B58" s="20" t="s">
        <v>174</v>
      </c>
      <c r="C58" s="28" t="s">
        <v>165</v>
      </c>
      <c r="D58" s="21">
        <v>2290488</v>
      </c>
      <c r="E58" s="21">
        <v>2468571</v>
      </c>
      <c r="F58" s="21">
        <v>2785644</v>
      </c>
      <c r="G58" s="29">
        <f t="shared" si="15"/>
        <v>178083</v>
      </c>
      <c r="H58" s="30">
        <f t="shared" si="16"/>
        <v>7.7748933851650825E-2</v>
      </c>
      <c r="I58" s="29">
        <f t="shared" si="17"/>
        <v>317073</v>
      </c>
      <c r="J58" s="30">
        <f t="shared" si="18"/>
        <v>0.12844394591040728</v>
      </c>
    </row>
    <row r="59" spans="2:10" ht="15" customHeight="1" x14ac:dyDescent="0.3">
      <c r="B59" s="23" t="s">
        <v>175</v>
      </c>
      <c r="C59" s="31" t="s">
        <v>167</v>
      </c>
      <c r="D59" s="18">
        <v>463535</v>
      </c>
      <c r="E59" s="18">
        <v>141048</v>
      </c>
      <c r="F59" s="18">
        <v>89288</v>
      </c>
      <c r="G59" s="32">
        <f t="shared" si="15"/>
        <v>-322487</v>
      </c>
      <c r="H59" s="33">
        <f t="shared" si="16"/>
        <v>-0.69571229788473365</v>
      </c>
      <c r="I59" s="32">
        <f t="shared" si="17"/>
        <v>-51760</v>
      </c>
      <c r="J59" s="33">
        <f t="shared" si="18"/>
        <v>-0.36696727355226588</v>
      </c>
    </row>
    <row r="60" spans="2:10" ht="15" customHeight="1" x14ac:dyDescent="0.3">
      <c r="B60" s="24" t="s">
        <v>176</v>
      </c>
      <c r="C60" s="25"/>
      <c r="D60" s="26">
        <f>SUM(D55:D59)</f>
        <v>5554712</v>
      </c>
      <c r="E60" s="26">
        <f>SUM(E55:E59)</f>
        <v>2759193</v>
      </c>
      <c r="F60" s="26">
        <f>SUM(F55:F59)</f>
        <v>6398461</v>
      </c>
      <c r="G60" s="26">
        <f t="shared" si="15"/>
        <v>-2795519</v>
      </c>
      <c r="H60" s="27">
        <f t="shared" si="16"/>
        <v>-0.50326983649197299</v>
      </c>
      <c r="I60" s="26">
        <f t="shared" si="17"/>
        <v>3639268</v>
      </c>
      <c r="J60" s="27">
        <f t="shared" si="18"/>
        <v>1.3189610150504152</v>
      </c>
    </row>
    <row r="61" spans="2:10" ht="15" customHeight="1" x14ac:dyDescent="0.3">
      <c r="B61" s="8"/>
      <c r="C61" s="31"/>
      <c r="D61" s="32"/>
      <c r="E61" s="32"/>
      <c r="F61" s="32"/>
      <c r="G61" s="32"/>
      <c r="H61" s="33"/>
      <c r="I61" s="32"/>
      <c r="J61" s="33"/>
    </row>
    <row r="62" spans="2:10" ht="15" customHeight="1" x14ac:dyDescent="0.3">
      <c r="B62" s="24" t="s">
        <v>177</v>
      </c>
      <c r="C62" s="25"/>
      <c r="D62" s="26">
        <f>D52+D60</f>
        <v>18377256</v>
      </c>
      <c r="E62" s="26">
        <f>E52+E60</f>
        <v>12804083</v>
      </c>
      <c r="F62" s="26">
        <f>F52+F60</f>
        <v>17045985</v>
      </c>
      <c r="G62" s="26">
        <f t="shared" ref="G62" si="19">E62-D62</f>
        <v>-5573173</v>
      </c>
      <c r="H62" s="27">
        <f t="shared" ref="H62" si="20">IF(D62=0,"n.a",(G62/D62))</f>
        <v>-0.30326469849470455</v>
      </c>
      <c r="I62" s="26">
        <f>F62-E62</f>
        <v>4241902</v>
      </c>
      <c r="J62" s="27">
        <f t="shared" ref="J62" si="21">IF(E62=0, "n.a", I62/E62)</f>
        <v>0.33129291648609277</v>
      </c>
    </row>
    <row r="63" spans="2:10" ht="15" customHeight="1" x14ac:dyDescent="0.3">
      <c r="B63" s="8"/>
      <c r="C63" s="31"/>
      <c r="D63" s="32"/>
      <c r="E63" s="32"/>
      <c r="F63" s="32"/>
      <c r="G63" s="32"/>
      <c r="H63" s="33"/>
      <c r="I63" s="32"/>
      <c r="J63" s="33"/>
    </row>
    <row r="64" spans="2:10" ht="15" customHeight="1" x14ac:dyDescent="0.3">
      <c r="B64" s="6" t="s">
        <v>178</v>
      </c>
      <c r="C64" s="28"/>
      <c r="D64" s="29"/>
      <c r="E64" s="29"/>
      <c r="F64" s="29"/>
      <c r="G64" s="29"/>
      <c r="H64" s="30"/>
      <c r="I64" s="29"/>
      <c r="J64" s="30"/>
    </row>
    <row r="65" spans="2:10" ht="15" customHeight="1" x14ac:dyDescent="0.3">
      <c r="B65" s="23" t="s">
        <v>179</v>
      </c>
      <c r="C65" s="31" t="s">
        <v>180</v>
      </c>
      <c r="D65" s="18">
        <v>1201410</v>
      </c>
      <c r="E65" s="18">
        <v>1191145</v>
      </c>
      <c r="F65" s="18">
        <v>1191145</v>
      </c>
      <c r="G65" s="32">
        <f t="shared" ref="G65:G71" si="22">E65-D65</f>
        <v>-10265</v>
      </c>
      <c r="H65" s="33">
        <f t="shared" ref="H65:H71" si="23">IF(D65=0,"n.a",(G65/D65))</f>
        <v>-8.5441273170691109E-3</v>
      </c>
      <c r="I65" s="32">
        <f t="shared" ref="I65:I71" si="24">F65-E65</f>
        <v>0</v>
      </c>
      <c r="J65" s="33">
        <f t="shared" ref="J65:J71" si="25">IF(E65=0, "n.a", I65/E65)</f>
        <v>0</v>
      </c>
    </row>
    <row r="66" spans="2:10" ht="15" customHeight="1" x14ac:dyDescent="0.3">
      <c r="B66" s="20" t="s">
        <v>181</v>
      </c>
      <c r="C66" s="28" t="s">
        <v>180</v>
      </c>
      <c r="D66" s="21">
        <v>249803454</v>
      </c>
      <c r="E66" s="21">
        <v>252673764</v>
      </c>
      <c r="F66" s="21">
        <v>254897581</v>
      </c>
      <c r="G66" s="29">
        <f t="shared" si="22"/>
        <v>2870310</v>
      </c>
      <c r="H66" s="30">
        <f t="shared" si="23"/>
        <v>1.1490273469157077E-2</v>
      </c>
      <c r="I66" s="29">
        <f t="shared" si="24"/>
        <v>2223817</v>
      </c>
      <c r="J66" s="30">
        <f t="shared" si="25"/>
        <v>8.8011393220864837E-3</v>
      </c>
    </row>
    <row r="67" spans="2:10" ht="15" customHeight="1" x14ac:dyDescent="0.3">
      <c r="B67" s="23" t="s">
        <v>182</v>
      </c>
      <c r="C67" s="31" t="s">
        <v>180</v>
      </c>
      <c r="D67" s="18">
        <v>-8199511</v>
      </c>
      <c r="E67" s="18">
        <v>-5222504</v>
      </c>
      <c r="F67" s="18">
        <v>-5539854</v>
      </c>
      <c r="G67" s="32">
        <f t="shared" si="22"/>
        <v>2977007</v>
      </c>
      <c r="H67" s="33">
        <f t="shared" si="23"/>
        <v>-0.36307128559251889</v>
      </c>
      <c r="I67" s="32">
        <f t="shared" si="24"/>
        <v>-317350</v>
      </c>
      <c r="J67" s="33">
        <f t="shared" si="25"/>
        <v>6.0765870164963015E-2</v>
      </c>
    </row>
    <row r="68" spans="2:10" ht="15" customHeight="1" x14ac:dyDescent="0.3">
      <c r="B68" s="20" t="s">
        <v>183</v>
      </c>
      <c r="C68" s="28" t="s">
        <v>184</v>
      </c>
      <c r="D68" s="21">
        <v>11233019</v>
      </c>
      <c r="E68" s="21">
        <v>5637276</v>
      </c>
      <c r="F68" s="21">
        <v>3606158</v>
      </c>
      <c r="G68" s="29">
        <f t="shared" si="22"/>
        <v>-5595743</v>
      </c>
      <c r="H68" s="30">
        <f t="shared" si="23"/>
        <v>-0.49815129841763822</v>
      </c>
      <c r="I68" s="29">
        <f t="shared" si="24"/>
        <v>-2031118</v>
      </c>
      <c r="J68" s="30">
        <f t="shared" si="25"/>
        <v>-0.36030132283748389</v>
      </c>
    </row>
    <row r="69" spans="2:10" ht="15" customHeight="1" x14ac:dyDescent="0.3">
      <c r="B69" s="23" t="s">
        <v>185</v>
      </c>
      <c r="C69" s="31"/>
      <c r="D69" s="18">
        <v>45773</v>
      </c>
      <c r="E69" s="18">
        <v>28505</v>
      </c>
      <c r="F69" s="18">
        <v>196972</v>
      </c>
      <c r="G69" s="32">
        <f t="shared" si="22"/>
        <v>-17268</v>
      </c>
      <c r="H69" s="33">
        <f t="shared" si="23"/>
        <v>-0.37725296572215061</v>
      </c>
      <c r="I69" s="32">
        <f t="shared" si="24"/>
        <v>168467</v>
      </c>
      <c r="J69" s="33">
        <f t="shared" si="25"/>
        <v>5.9100859498333627</v>
      </c>
    </row>
    <row r="70" spans="2:10" ht="15" customHeight="1" x14ac:dyDescent="0.3">
      <c r="B70" s="20" t="s">
        <v>186</v>
      </c>
      <c r="C70" s="28" t="s">
        <v>187</v>
      </c>
      <c r="D70" s="21">
        <v>-7224976</v>
      </c>
      <c r="E70" s="21">
        <v>-7199731</v>
      </c>
      <c r="F70" s="21">
        <v>-7212977</v>
      </c>
      <c r="G70" s="29">
        <f t="shared" si="22"/>
        <v>25245</v>
      </c>
      <c r="H70" s="30">
        <f t="shared" si="23"/>
        <v>-3.4941292538549608E-3</v>
      </c>
      <c r="I70" s="29">
        <f t="shared" si="24"/>
        <v>-13246</v>
      </c>
      <c r="J70" s="30">
        <f t="shared" si="25"/>
        <v>1.8397909588566573E-3</v>
      </c>
    </row>
    <row r="71" spans="2:10" ht="15" customHeight="1" x14ac:dyDescent="0.3">
      <c r="B71" s="23" t="s">
        <v>188</v>
      </c>
      <c r="C71" s="31"/>
      <c r="D71" s="18">
        <v>-208928904</v>
      </c>
      <c r="E71" s="18">
        <v>-214119215</v>
      </c>
      <c r="F71" s="18">
        <v>-215334000</v>
      </c>
      <c r="G71" s="32">
        <f t="shared" si="22"/>
        <v>-5190311</v>
      </c>
      <c r="H71" s="33">
        <f t="shared" si="23"/>
        <v>2.4842474643910446E-2</v>
      </c>
      <c r="I71" s="32">
        <f t="shared" si="24"/>
        <v>-1214785</v>
      </c>
      <c r="J71" s="33">
        <f t="shared" si="25"/>
        <v>5.6734048833496798E-3</v>
      </c>
    </row>
    <row r="72" spans="2:10" ht="15" customHeight="1" x14ac:dyDescent="0.3">
      <c r="B72" s="24" t="s">
        <v>189</v>
      </c>
      <c r="C72" s="25"/>
      <c r="D72" s="26"/>
      <c r="E72" s="26"/>
      <c r="F72" s="26"/>
      <c r="G72" s="26"/>
      <c r="H72" s="27"/>
      <c r="I72" s="26"/>
      <c r="J72" s="27"/>
    </row>
    <row r="73" spans="2:10" ht="15" customHeight="1" x14ac:dyDescent="0.3">
      <c r="B73" s="23" t="s">
        <v>92</v>
      </c>
      <c r="C73" s="31" t="s">
        <v>190</v>
      </c>
      <c r="D73" s="18">
        <v>-2210265</v>
      </c>
      <c r="E73" s="18">
        <v>-2585439</v>
      </c>
      <c r="F73" s="18">
        <v>-3093368</v>
      </c>
      <c r="G73" s="32">
        <f t="shared" ref="G73:G74" si="26">E73-D73</f>
        <v>-375174</v>
      </c>
      <c r="H73" s="33">
        <f t="shared" ref="H73:H74" si="27">IF(D73=0,"n.a",(G73/D73))</f>
        <v>0.1697416373149826</v>
      </c>
      <c r="I73" s="32">
        <f t="shared" ref="I73:I74" si="28">F73-E73</f>
        <v>-507929</v>
      </c>
      <c r="J73" s="33">
        <f t="shared" ref="J73:J74" si="29">IF(E73=0, "n.a", I73/E73)</f>
        <v>0.1964575455077455</v>
      </c>
    </row>
    <row r="74" spans="2:10" ht="15" customHeight="1" x14ac:dyDescent="0.3">
      <c r="B74" s="24" t="s">
        <v>191</v>
      </c>
      <c r="C74" s="25"/>
      <c r="D74" s="26">
        <f>SUM(D65:D73)</f>
        <v>35720000</v>
      </c>
      <c r="E74" s="26">
        <f>SUM(E65:E73)</f>
        <v>30403801</v>
      </c>
      <c r="F74" s="26">
        <f>SUM(F65:F73)</f>
        <v>28711657</v>
      </c>
      <c r="G74" s="26">
        <f t="shared" si="26"/>
        <v>-5316199</v>
      </c>
      <c r="H74" s="27">
        <f t="shared" si="27"/>
        <v>-0.14882975923852185</v>
      </c>
      <c r="I74" s="26">
        <f t="shared" si="28"/>
        <v>-1692144</v>
      </c>
      <c r="J74" s="27">
        <f t="shared" si="29"/>
        <v>-5.5655672789070028E-2</v>
      </c>
    </row>
    <row r="75" spans="2:10" ht="15" customHeight="1" x14ac:dyDescent="0.3">
      <c r="B75" s="8"/>
      <c r="C75" s="31"/>
      <c r="D75" s="32"/>
      <c r="E75" s="32"/>
      <c r="F75" s="32"/>
      <c r="G75" s="32"/>
      <c r="H75" s="33"/>
      <c r="I75" s="32"/>
      <c r="J75" s="33"/>
    </row>
    <row r="76" spans="2:10" ht="15" customHeight="1" x14ac:dyDescent="0.3">
      <c r="B76" s="24" t="s">
        <v>192</v>
      </c>
      <c r="C76" s="25"/>
      <c r="D76" s="26">
        <f>D62+D74</f>
        <v>54097256</v>
      </c>
      <c r="E76" s="26">
        <f>E62+E74</f>
        <v>43207884</v>
      </c>
      <c r="F76" s="26">
        <f>F62+F74</f>
        <v>45757642</v>
      </c>
      <c r="G76" s="26">
        <f t="shared" ref="G76" si="30">E76-D76</f>
        <v>-10889372</v>
      </c>
      <c r="H76" s="27">
        <f t="shared" ref="H76" si="31">IF(D76=0,"n.a",(G76/D76))</f>
        <v>-0.20129250178604252</v>
      </c>
      <c r="I76" s="26">
        <f>F76-E76</f>
        <v>2549758</v>
      </c>
      <c r="J76" s="27">
        <f t="shared" ref="J76" si="32">IF(E76=0, "n.a", I76/E76)</f>
        <v>5.9011406344268096E-2</v>
      </c>
    </row>
    <row r="77" spans="2:10" ht="15" customHeight="1" x14ac:dyDescent="0.3">
      <c r="B77" s="8"/>
      <c r="C77" s="31"/>
      <c r="D77" s="31"/>
      <c r="E77" s="32"/>
      <c r="F77" s="32"/>
      <c r="G77" s="32"/>
      <c r="H77" s="32"/>
      <c r="I77" s="32"/>
      <c r="J77" s="33"/>
    </row>
    <row r="78" spans="2:10" ht="15" customHeight="1" x14ac:dyDescent="0.3">
      <c r="B78" s="215" t="s">
        <v>193</v>
      </c>
      <c r="C78" s="215"/>
      <c r="D78" s="215"/>
      <c r="E78" s="215"/>
      <c r="F78" s="215"/>
      <c r="G78" s="215"/>
      <c r="H78" s="215"/>
      <c r="I78" s="215"/>
      <c r="J78" s="215"/>
    </row>
    <row r="79" spans="2:10" ht="15" customHeight="1" x14ac:dyDescent="0.3">
      <c r="B79" s="8" t="s">
        <v>194</v>
      </c>
      <c r="C79" s="31"/>
      <c r="D79" s="32">
        <f>D35-D76</f>
        <v>0</v>
      </c>
      <c r="E79" s="32">
        <f>E35-E76</f>
        <v>0</v>
      </c>
      <c r="F79" s="32">
        <f>F35-F76</f>
        <v>0</v>
      </c>
      <c r="G79" s="32"/>
      <c r="H79" s="32"/>
      <c r="I79" s="32"/>
      <c r="J79" s="33"/>
    </row>
  </sheetData>
  <mergeCells count="3">
    <mergeCell ref="B1:J1"/>
    <mergeCell ref="B2:J2"/>
    <mergeCell ref="B78:J78"/>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1:J63"/>
  <sheetViews>
    <sheetView zoomScale="90" zoomScaleNormal="90" workbookViewId="0">
      <pane xSplit="2" ySplit="3" topLeftCell="C4" activePane="bottomRight" state="frozen"/>
      <selection pane="topRight" activeCell="C1" sqref="C1"/>
      <selection pane="bottomLeft" activeCell="A4" sqref="A4"/>
      <selection pane="bottomRight" activeCell="B3" sqref="B3"/>
    </sheetView>
  </sheetViews>
  <sheetFormatPr defaultColWidth="8.6640625" defaultRowHeight="14.4" x14ac:dyDescent="0.3"/>
  <cols>
    <col min="1" max="1" width="3" style="1" customWidth="1"/>
    <col min="2" max="2" width="52" style="1" customWidth="1"/>
    <col min="3" max="3" width="6" style="1" customWidth="1"/>
    <col min="4" max="4" width="17.44140625" style="1" customWidth="1"/>
    <col min="5" max="8" width="16" style="1" customWidth="1"/>
    <col min="9" max="9" width="16.33203125" style="1" customWidth="1"/>
    <col min="10" max="10" width="12" style="1" customWidth="1"/>
  </cols>
  <sheetData>
    <row r="1" spans="2:10" ht="24" customHeight="1" x14ac:dyDescent="0.3">
      <c r="B1" s="209" t="s">
        <v>195</v>
      </c>
      <c r="C1" s="209"/>
      <c r="D1" s="209"/>
      <c r="E1" s="209"/>
      <c r="F1" s="209"/>
      <c r="G1" s="209"/>
      <c r="H1" s="209"/>
      <c r="I1" s="209"/>
      <c r="J1" s="209"/>
    </row>
    <row r="2" spans="2:10" ht="15" customHeight="1" x14ac:dyDescent="0.3">
      <c r="B2" s="216" t="s">
        <v>196</v>
      </c>
      <c r="C2" s="210"/>
      <c r="D2" s="210"/>
      <c r="E2" s="210"/>
      <c r="F2" s="210"/>
      <c r="G2" s="210"/>
      <c r="H2" s="210"/>
      <c r="I2" s="210"/>
      <c r="J2" s="210"/>
    </row>
    <row r="3" spans="2:10" ht="15" customHeight="1" x14ac:dyDescent="0.3">
      <c r="B3" s="17" t="s">
        <v>58</v>
      </c>
      <c r="C3" s="17" t="s">
        <v>59</v>
      </c>
      <c r="D3" s="51" t="s">
        <v>336</v>
      </c>
      <c r="E3" s="17" t="s">
        <v>39</v>
      </c>
      <c r="F3" s="17" t="s">
        <v>40</v>
      </c>
      <c r="G3" s="51" t="s">
        <v>337</v>
      </c>
      <c r="H3" s="51" t="s">
        <v>338</v>
      </c>
      <c r="I3" s="51" t="s">
        <v>339</v>
      </c>
      <c r="J3" s="51" t="s">
        <v>340</v>
      </c>
    </row>
    <row r="4" spans="2:10" ht="15" customHeight="1" x14ac:dyDescent="0.3">
      <c r="B4" s="24" t="s">
        <v>197</v>
      </c>
      <c r="C4" s="25"/>
      <c r="D4" s="25"/>
      <c r="E4" s="26"/>
      <c r="F4" s="26"/>
      <c r="G4" s="26"/>
      <c r="H4" s="26"/>
      <c r="I4" s="26"/>
      <c r="J4" s="27"/>
    </row>
    <row r="5" spans="2:10" ht="15" customHeight="1" x14ac:dyDescent="0.3">
      <c r="B5" s="20" t="s">
        <v>198</v>
      </c>
      <c r="C5" s="28"/>
      <c r="D5" s="21">
        <v>23748122</v>
      </c>
      <c r="E5" s="21">
        <v>18880338</v>
      </c>
      <c r="F5" s="21">
        <v>20931399</v>
      </c>
      <c r="G5" s="48">
        <f t="shared" ref="G5:G16" si="0">E5-D5</f>
        <v>-4867784</v>
      </c>
      <c r="H5" s="54">
        <f>IF(D5=0,"n.a",G5/D5)</f>
        <v>-0.20497553448647435</v>
      </c>
      <c r="I5" s="29">
        <f>F5-E5</f>
        <v>2051061</v>
      </c>
      <c r="J5" s="30">
        <f>IF(E5=0,"n.a", I5/E5)</f>
        <v>0.10863476067006851</v>
      </c>
    </row>
    <row r="6" spans="2:10" ht="15" customHeight="1" x14ac:dyDescent="0.3">
      <c r="B6" s="23" t="s">
        <v>315</v>
      </c>
      <c r="C6" s="31"/>
      <c r="D6" s="18">
        <v>-12822461</v>
      </c>
      <c r="E6" s="18">
        <v>-4784853</v>
      </c>
      <c r="F6" s="18">
        <v>-3956973</v>
      </c>
      <c r="G6" s="49">
        <f t="shared" si="0"/>
        <v>8037608</v>
      </c>
      <c r="H6" s="55">
        <f t="shared" ref="H6:H57" si="1">IF(D6=0,"n.a",G6/D6)</f>
        <v>-0.62683817092522254</v>
      </c>
      <c r="I6" s="32">
        <f t="shared" ref="I6:I16" si="2">F6-E6</f>
        <v>827880</v>
      </c>
      <c r="J6" s="33">
        <f t="shared" ref="J6:J57" si="3">IF(E6=0,"n.a", I6/E6)</f>
        <v>-0.17302098935954771</v>
      </c>
    </row>
    <row r="7" spans="2:10" ht="15" customHeight="1" x14ac:dyDescent="0.3">
      <c r="B7" s="20" t="s">
        <v>316</v>
      </c>
      <c r="C7" s="28"/>
      <c r="D7" s="21">
        <v>-2233673</v>
      </c>
      <c r="E7" s="21">
        <v>-5784605</v>
      </c>
      <c r="F7" s="21">
        <v>-5701503</v>
      </c>
      <c r="G7" s="48">
        <f t="shared" si="0"/>
        <v>-3550932</v>
      </c>
      <c r="H7" s="54">
        <f t="shared" si="1"/>
        <v>1.5897277712538944</v>
      </c>
      <c r="I7" s="29">
        <f t="shared" si="2"/>
        <v>83102</v>
      </c>
      <c r="J7" s="30">
        <f t="shared" si="3"/>
        <v>-1.436606302418229E-2</v>
      </c>
    </row>
    <row r="8" spans="2:10" ht="15" customHeight="1" x14ac:dyDescent="0.3">
      <c r="B8" s="23" t="s">
        <v>317</v>
      </c>
      <c r="C8" s="31"/>
      <c r="D8" s="18">
        <v>-266652</v>
      </c>
      <c r="E8" s="18">
        <v>-24042</v>
      </c>
      <c r="F8" s="18">
        <v>178674</v>
      </c>
      <c r="G8" s="49">
        <f t="shared" si="0"/>
        <v>242610</v>
      </c>
      <c r="H8" s="55">
        <f t="shared" si="1"/>
        <v>-0.90983754106475856</v>
      </c>
      <c r="I8" s="32">
        <f t="shared" si="2"/>
        <v>202716</v>
      </c>
      <c r="J8" s="33">
        <f t="shared" si="3"/>
        <v>-8.431744447217369</v>
      </c>
    </row>
    <row r="9" spans="2:10" ht="15" customHeight="1" x14ac:dyDescent="0.3">
      <c r="B9" s="20" t="s">
        <v>199</v>
      </c>
      <c r="C9" s="28"/>
      <c r="D9" s="21">
        <v>0</v>
      </c>
      <c r="E9" s="21">
        <v>-1229186</v>
      </c>
      <c r="F9" s="21">
        <v>-2019761</v>
      </c>
      <c r="G9" s="48">
        <f t="shared" si="0"/>
        <v>-1229186</v>
      </c>
      <c r="H9" s="54" t="str">
        <f t="shared" si="1"/>
        <v>n.a</v>
      </c>
      <c r="I9" s="29">
        <f t="shared" si="2"/>
        <v>-790575</v>
      </c>
      <c r="J9" s="30">
        <f t="shared" si="3"/>
        <v>0.64316954472309318</v>
      </c>
    </row>
    <row r="10" spans="2:10" ht="15" customHeight="1" x14ac:dyDescent="0.3">
      <c r="B10" s="23" t="s">
        <v>200</v>
      </c>
      <c r="C10" s="31"/>
      <c r="D10" s="18">
        <v>-5337034</v>
      </c>
      <c r="E10" s="18">
        <v>-3321854</v>
      </c>
      <c r="F10" s="18">
        <v>-3353512</v>
      </c>
      <c r="G10" s="49">
        <f t="shared" si="0"/>
        <v>2015180</v>
      </c>
      <c r="H10" s="55">
        <f t="shared" si="1"/>
        <v>-0.3775842537259459</v>
      </c>
      <c r="I10" s="32">
        <f t="shared" si="2"/>
        <v>-31658</v>
      </c>
      <c r="J10" s="33">
        <f t="shared" si="3"/>
        <v>9.5302201722291223E-3</v>
      </c>
    </row>
    <row r="11" spans="2:10" ht="15" customHeight="1" x14ac:dyDescent="0.3">
      <c r="B11" s="20" t="s">
        <v>201</v>
      </c>
      <c r="C11" s="28"/>
      <c r="D11" s="21">
        <v>-7422939</v>
      </c>
      <c r="E11" s="21">
        <v>-4655285</v>
      </c>
      <c r="F11" s="21">
        <v>-5578054</v>
      </c>
      <c r="G11" s="48">
        <f t="shared" si="0"/>
        <v>2767654</v>
      </c>
      <c r="H11" s="54">
        <f t="shared" si="1"/>
        <v>-0.37285150800781203</v>
      </c>
      <c r="I11" s="29">
        <f t="shared" si="2"/>
        <v>-922769</v>
      </c>
      <c r="J11" s="30">
        <f t="shared" si="3"/>
        <v>0.19821965787271886</v>
      </c>
    </row>
    <row r="12" spans="2:10" ht="15" customHeight="1" x14ac:dyDescent="0.3">
      <c r="B12" s="24" t="s">
        <v>202</v>
      </c>
      <c r="C12" s="25"/>
      <c r="D12" s="26">
        <f>SUM(D5:D11)</f>
        <v>-4334637</v>
      </c>
      <c r="E12" s="26">
        <f>SUM(E5:E11)</f>
        <v>-919487</v>
      </c>
      <c r="F12" s="26">
        <f>SUM(F5:F11)</f>
        <v>500270</v>
      </c>
      <c r="G12" s="50">
        <f t="shared" si="0"/>
        <v>3415150</v>
      </c>
      <c r="H12" s="56">
        <f t="shared" si="1"/>
        <v>-0.78787450944565829</v>
      </c>
      <c r="I12" s="26">
        <f t="shared" si="2"/>
        <v>1419757</v>
      </c>
      <c r="J12" s="27">
        <f t="shared" si="3"/>
        <v>-1.5440751201485177</v>
      </c>
    </row>
    <row r="13" spans="2:10" ht="15" customHeight="1" x14ac:dyDescent="0.3">
      <c r="B13" s="20" t="s">
        <v>203</v>
      </c>
      <c r="C13" s="28"/>
      <c r="D13" s="21">
        <v>-277118</v>
      </c>
      <c r="E13" s="21">
        <v>-88466</v>
      </c>
      <c r="F13" s="21">
        <v>-433486</v>
      </c>
      <c r="G13" s="48">
        <f t="shared" si="0"/>
        <v>188652</v>
      </c>
      <c r="H13" s="54">
        <f t="shared" si="1"/>
        <v>-0.68076415101148247</v>
      </c>
      <c r="I13" s="29">
        <f t="shared" si="2"/>
        <v>-345020</v>
      </c>
      <c r="J13" s="30">
        <f t="shared" si="3"/>
        <v>3.9000293898220786</v>
      </c>
    </row>
    <row r="14" spans="2:10" ht="15" customHeight="1" x14ac:dyDescent="0.3">
      <c r="B14" s="23" t="s">
        <v>204</v>
      </c>
      <c r="C14" s="31"/>
      <c r="D14" s="18">
        <v>582161</v>
      </c>
      <c r="E14" s="18">
        <v>700446</v>
      </c>
      <c r="F14" s="18">
        <v>546368</v>
      </c>
      <c r="G14" s="49">
        <f t="shared" si="0"/>
        <v>118285</v>
      </c>
      <c r="H14" s="55">
        <f t="shared" si="1"/>
        <v>0.20318262473783025</v>
      </c>
      <c r="I14" s="32">
        <f t="shared" si="2"/>
        <v>-154078</v>
      </c>
      <c r="J14" s="33">
        <f t="shared" si="3"/>
        <v>-0.21997127544450251</v>
      </c>
    </row>
    <row r="15" spans="2:10" ht="15" customHeight="1" x14ac:dyDescent="0.3">
      <c r="B15" s="20" t="s">
        <v>205</v>
      </c>
      <c r="C15" s="28"/>
      <c r="D15" s="21">
        <v>-295714</v>
      </c>
      <c r="E15" s="21">
        <v>-314607</v>
      </c>
      <c r="F15" s="21">
        <v>-306127</v>
      </c>
      <c r="G15" s="48">
        <f t="shared" si="0"/>
        <v>-18893</v>
      </c>
      <c r="H15" s="54">
        <f t="shared" si="1"/>
        <v>6.3889433709597793E-2</v>
      </c>
      <c r="I15" s="29">
        <f t="shared" si="2"/>
        <v>8480</v>
      </c>
      <c r="J15" s="30">
        <f t="shared" si="3"/>
        <v>-2.6954263573283493E-2</v>
      </c>
    </row>
    <row r="16" spans="2:10" ht="15" customHeight="1" x14ac:dyDescent="0.3">
      <c r="B16" s="24" t="s">
        <v>206</v>
      </c>
      <c r="C16" s="25"/>
      <c r="D16" s="26">
        <f>SUM(D12:D15)</f>
        <v>-4325308</v>
      </c>
      <c r="E16" s="26">
        <f>SUM(E12:E15)</f>
        <v>-622114</v>
      </c>
      <c r="F16" s="26">
        <f>SUM(F12:F15)</f>
        <v>307025</v>
      </c>
      <c r="G16" s="50">
        <f t="shared" si="0"/>
        <v>3703194</v>
      </c>
      <c r="H16" s="56">
        <f t="shared" si="1"/>
        <v>-0.85616885548959754</v>
      </c>
      <c r="I16" s="26">
        <f t="shared" si="2"/>
        <v>929139</v>
      </c>
      <c r="J16" s="27">
        <f t="shared" si="3"/>
        <v>-1.4935188727467956</v>
      </c>
    </row>
    <row r="17" spans="2:10" ht="15" customHeight="1" x14ac:dyDescent="0.3">
      <c r="B17" s="6"/>
      <c r="C17" s="28"/>
      <c r="D17" s="29"/>
      <c r="E17" s="29"/>
      <c r="F17" s="29"/>
      <c r="G17" s="48"/>
      <c r="H17" s="54"/>
      <c r="I17" s="29"/>
      <c r="J17" s="30"/>
    </row>
    <row r="18" spans="2:10" ht="15" customHeight="1" x14ac:dyDescent="0.3">
      <c r="B18" s="24" t="s">
        <v>207</v>
      </c>
      <c r="C18" s="25"/>
      <c r="D18" s="26"/>
      <c r="E18" s="26"/>
      <c r="F18" s="26"/>
      <c r="G18" s="50"/>
      <c r="H18" s="56"/>
      <c r="I18" s="26"/>
      <c r="J18" s="27"/>
    </row>
    <row r="19" spans="2:10" ht="15" customHeight="1" x14ac:dyDescent="0.3">
      <c r="B19" s="20" t="s">
        <v>208</v>
      </c>
      <c r="C19" s="28"/>
      <c r="D19" s="21">
        <v>-49047</v>
      </c>
      <c r="E19" s="21">
        <v>-6339296</v>
      </c>
      <c r="F19" s="21">
        <v>-880289</v>
      </c>
      <c r="G19" s="48">
        <f t="shared" ref="G19:G20" si="4">E19-D19</f>
        <v>-6290249</v>
      </c>
      <c r="H19" s="54">
        <f t="shared" si="1"/>
        <v>128.24941382755316</v>
      </c>
      <c r="I19" s="29">
        <f t="shared" ref="I19:I38" si="5">F19-E19</f>
        <v>5459007</v>
      </c>
      <c r="J19" s="30">
        <f t="shared" si="3"/>
        <v>-0.86113773516806913</v>
      </c>
    </row>
    <row r="20" spans="2:10" ht="15" customHeight="1" x14ac:dyDescent="0.3">
      <c r="B20" s="23" t="s">
        <v>209</v>
      </c>
      <c r="C20" s="31"/>
      <c r="D20" s="18">
        <v>-171400</v>
      </c>
      <c r="E20" s="18">
        <v>-179566</v>
      </c>
      <c r="F20" s="18">
        <v>-302071</v>
      </c>
      <c r="G20" s="49">
        <f t="shared" si="4"/>
        <v>-8166</v>
      </c>
      <c r="H20" s="55">
        <f t="shared" si="1"/>
        <v>4.7642940490081678E-2</v>
      </c>
      <c r="I20" s="32">
        <f t="shared" si="5"/>
        <v>-122505</v>
      </c>
      <c r="J20" s="33">
        <f t="shared" si="3"/>
        <v>0.68222826147488946</v>
      </c>
    </row>
    <row r="21" spans="2:10" ht="15" customHeight="1" x14ac:dyDescent="0.3">
      <c r="B21" s="20" t="s">
        <v>210</v>
      </c>
      <c r="C21" s="28"/>
      <c r="D21" s="21">
        <v>19968</v>
      </c>
      <c r="E21" s="21">
        <v>3341</v>
      </c>
      <c r="F21" s="21">
        <v>0</v>
      </c>
      <c r="G21" s="48">
        <f>E21-D21</f>
        <v>-16627</v>
      </c>
      <c r="H21" s="54">
        <f t="shared" si="1"/>
        <v>-0.83268229166666663</v>
      </c>
      <c r="I21" s="29">
        <f t="shared" si="5"/>
        <v>-3341</v>
      </c>
      <c r="J21" s="30">
        <f t="shared" si="3"/>
        <v>-1</v>
      </c>
    </row>
    <row r="22" spans="2:10" ht="15" customHeight="1" x14ac:dyDescent="0.3">
      <c r="B22" s="23" t="s">
        <v>211</v>
      </c>
      <c r="C22" s="31"/>
      <c r="D22" s="18">
        <v>-42625</v>
      </c>
      <c r="E22" s="18">
        <v>-2200</v>
      </c>
      <c r="F22" s="18">
        <v>-16283</v>
      </c>
      <c r="G22" s="49">
        <f t="shared" ref="G22" si="6">E22-D22</f>
        <v>40425</v>
      </c>
      <c r="H22" s="55">
        <f t="shared" si="1"/>
        <v>-0.94838709677419353</v>
      </c>
      <c r="I22" s="32">
        <f t="shared" si="5"/>
        <v>-14083</v>
      </c>
      <c r="J22" s="33">
        <f t="shared" si="3"/>
        <v>6.4013636363636364</v>
      </c>
    </row>
    <row r="23" spans="2:10" ht="15" customHeight="1" x14ac:dyDescent="0.3">
      <c r="B23" s="20" t="s">
        <v>212</v>
      </c>
      <c r="C23" s="28"/>
      <c r="D23" s="21">
        <v>2901</v>
      </c>
      <c r="E23" s="21">
        <v>0</v>
      </c>
      <c r="F23" s="21">
        <v>3720</v>
      </c>
      <c r="G23" s="48">
        <f t="shared" ref="G23:G38" si="7">E23-D23</f>
        <v>-2901</v>
      </c>
      <c r="H23" s="54">
        <f t="shared" si="1"/>
        <v>-1</v>
      </c>
      <c r="I23" s="29">
        <f t="shared" si="5"/>
        <v>3720</v>
      </c>
      <c r="J23" s="30" t="str">
        <f t="shared" si="3"/>
        <v>n.a</v>
      </c>
    </row>
    <row r="24" spans="2:10" ht="15" customHeight="1" x14ac:dyDescent="0.3">
      <c r="B24" s="23" t="s">
        <v>318</v>
      </c>
      <c r="C24" s="31"/>
      <c r="D24" s="18">
        <v>-623762</v>
      </c>
      <c r="E24" s="18">
        <v>-44093</v>
      </c>
      <c r="F24" s="18">
        <v>-4626</v>
      </c>
      <c r="G24" s="49">
        <f t="shared" si="7"/>
        <v>579669</v>
      </c>
      <c r="H24" s="55">
        <f t="shared" si="1"/>
        <v>-0.92931117958452103</v>
      </c>
      <c r="I24" s="32">
        <f t="shared" si="5"/>
        <v>39467</v>
      </c>
      <c r="J24" s="33">
        <f t="shared" si="3"/>
        <v>-0.89508538770326351</v>
      </c>
    </row>
    <row r="25" spans="2:10" ht="15" customHeight="1" x14ac:dyDescent="0.3">
      <c r="B25" s="52" t="s">
        <v>343</v>
      </c>
      <c r="C25" s="31"/>
      <c r="D25" s="18">
        <v>-45000</v>
      </c>
      <c r="E25" s="18">
        <v>0</v>
      </c>
      <c r="F25" s="18">
        <v>0</v>
      </c>
      <c r="G25" s="49">
        <f t="shared" si="7"/>
        <v>45000</v>
      </c>
      <c r="H25" s="55">
        <f t="shared" si="1"/>
        <v>-1</v>
      </c>
      <c r="I25" s="32">
        <f t="shared" si="5"/>
        <v>0</v>
      </c>
      <c r="J25" s="33" t="str">
        <f t="shared" si="3"/>
        <v>n.a</v>
      </c>
    </row>
    <row r="26" spans="2:10" ht="15" customHeight="1" x14ac:dyDescent="0.3">
      <c r="B26" s="20" t="s">
        <v>319</v>
      </c>
      <c r="C26" s="28"/>
      <c r="D26" s="21">
        <v>765976</v>
      </c>
      <c r="E26" s="21">
        <v>334293</v>
      </c>
      <c r="F26" s="21">
        <v>110532</v>
      </c>
      <c r="G26" s="48">
        <f t="shared" si="7"/>
        <v>-431683</v>
      </c>
      <c r="H26" s="54">
        <f t="shared" si="1"/>
        <v>-0.56357248791084835</v>
      </c>
      <c r="I26" s="29">
        <f t="shared" si="5"/>
        <v>-223761</v>
      </c>
      <c r="J26" s="30">
        <f t="shared" si="3"/>
        <v>-0.66935592429395774</v>
      </c>
    </row>
    <row r="27" spans="2:10" ht="15" customHeight="1" x14ac:dyDescent="0.3">
      <c r="B27" s="23" t="s">
        <v>213</v>
      </c>
      <c r="C27" s="31"/>
      <c r="D27" s="18">
        <v>-189754</v>
      </c>
      <c r="E27" s="18">
        <v>-4006527</v>
      </c>
      <c r="F27" s="18">
        <v>0</v>
      </c>
      <c r="G27" s="49">
        <f t="shared" si="7"/>
        <v>-3816773</v>
      </c>
      <c r="H27" s="55">
        <f t="shared" si="1"/>
        <v>20.114321700728311</v>
      </c>
      <c r="I27" s="32">
        <f t="shared" si="5"/>
        <v>4006527</v>
      </c>
      <c r="J27" s="33">
        <f t="shared" si="3"/>
        <v>-1</v>
      </c>
    </row>
    <row r="28" spans="2:10" ht="15" customHeight="1" x14ac:dyDescent="0.3">
      <c r="B28" s="20" t="s">
        <v>214</v>
      </c>
      <c r="C28" s="28"/>
      <c r="D28" s="21">
        <v>0</v>
      </c>
      <c r="E28" s="21">
        <v>0</v>
      </c>
      <c r="F28" s="21">
        <v>59804</v>
      </c>
      <c r="G28" s="48">
        <f t="shared" si="7"/>
        <v>0</v>
      </c>
      <c r="H28" s="54" t="str">
        <f t="shared" si="1"/>
        <v>n.a</v>
      </c>
      <c r="I28" s="29">
        <f t="shared" si="5"/>
        <v>59804</v>
      </c>
      <c r="J28" s="30" t="str">
        <f t="shared" si="3"/>
        <v>n.a</v>
      </c>
    </row>
    <row r="29" spans="2:10" ht="15" customHeight="1" x14ac:dyDescent="0.3">
      <c r="B29" s="23" t="s">
        <v>320</v>
      </c>
      <c r="C29" s="31"/>
      <c r="D29" s="18">
        <v>0</v>
      </c>
      <c r="E29" s="18">
        <v>0</v>
      </c>
      <c r="F29" s="18">
        <v>20138</v>
      </c>
      <c r="G29" s="49">
        <f t="shared" si="7"/>
        <v>0</v>
      </c>
      <c r="H29" s="55" t="str">
        <f t="shared" si="1"/>
        <v>n.a</v>
      </c>
      <c r="I29" s="32">
        <f t="shared" si="5"/>
        <v>20138</v>
      </c>
      <c r="J29" s="33" t="str">
        <f t="shared" si="3"/>
        <v>n.a</v>
      </c>
    </row>
    <row r="30" spans="2:10" ht="15" customHeight="1" x14ac:dyDescent="0.3">
      <c r="B30" s="20" t="s">
        <v>321</v>
      </c>
      <c r="C30" s="28"/>
      <c r="D30" s="21">
        <v>0</v>
      </c>
      <c r="E30" s="21">
        <v>-83904</v>
      </c>
      <c r="F30" s="21">
        <v>0</v>
      </c>
      <c r="G30" s="48">
        <f t="shared" si="7"/>
        <v>-83904</v>
      </c>
      <c r="H30" s="54" t="str">
        <f t="shared" si="1"/>
        <v>n.a</v>
      </c>
      <c r="I30" s="29">
        <f t="shared" si="5"/>
        <v>83904</v>
      </c>
      <c r="J30" s="30">
        <f t="shared" si="3"/>
        <v>-1</v>
      </c>
    </row>
    <row r="31" spans="2:10" ht="15" customHeight="1" x14ac:dyDescent="0.3">
      <c r="B31" s="23" t="s">
        <v>215</v>
      </c>
      <c r="C31" s="31"/>
      <c r="D31" s="18">
        <v>-2225788</v>
      </c>
      <c r="E31" s="18">
        <v>421217</v>
      </c>
      <c r="F31" s="18">
        <v>1386520</v>
      </c>
      <c r="G31" s="49">
        <f t="shared" si="7"/>
        <v>2647005</v>
      </c>
      <c r="H31" s="55">
        <f t="shared" si="1"/>
        <v>-1.1892439890950981</v>
      </c>
      <c r="I31" s="32">
        <f t="shared" si="5"/>
        <v>965303</v>
      </c>
      <c r="J31" s="33">
        <f t="shared" si="3"/>
        <v>2.2917000026114804</v>
      </c>
    </row>
    <row r="32" spans="2:10" ht="15" customHeight="1" x14ac:dyDescent="0.3">
      <c r="B32" s="20" t="s">
        <v>216</v>
      </c>
      <c r="C32" s="28"/>
      <c r="D32" s="21">
        <v>0</v>
      </c>
      <c r="E32" s="21">
        <v>-1000000</v>
      </c>
      <c r="F32" s="21">
        <v>0</v>
      </c>
      <c r="G32" s="48">
        <f t="shared" si="7"/>
        <v>-1000000</v>
      </c>
      <c r="H32" s="54" t="str">
        <f t="shared" si="1"/>
        <v>n.a</v>
      </c>
      <c r="I32" s="29">
        <f t="shared" si="5"/>
        <v>1000000</v>
      </c>
      <c r="J32" s="30">
        <f t="shared" si="3"/>
        <v>-1</v>
      </c>
    </row>
    <row r="33" spans="2:10" ht="15" customHeight="1" x14ac:dyDescent="0.3">
      <c r="B33" s="23" t="s">
        <v>322</v>
      </c>
      <c r="C33" s="28"/>
      <c r="D33" s="21">
        <v>-400922</v>
      </c>
      <c r="E33" s="21">
        <v>-99957</v>
      </c>
      <c r="F33" s="21">
        <v>-464115</v>
      </c>
      <c r="G33" s="48">
        <f t="shared" si="7"/>
        <v>300965</v>
      </c>
      <c r="H33" s="54">
        <f t="shared" si="1"/>
        <v>-0.75068217758067657</v>
      </c>
      <c r="I33" s="29">
        <f t="shared" si="5"/>
        <v>-364158</v>
      </c>
      <c r="J33" s="30">
        <f t="shared" si="3"/>
        <v>3.6431465530177976</v>
      </c>
    </row>
    <row r="34" spans="2:10" ht="15" customHeight="1" x14ac:dyDescent="0.3">
      <c r="B34" s="20" t="s">
        <v>323</v>
      </c>
      <c r="C34" s="28"/>
      <c r="D34" s="21">
        <v>195526</v>
      </c>
      <c r="E34" s="21">
        <v>418348</v>
      </c>
      <c r="F34" s="21">
        <v>340546</v>
      </c>
      <c r="G34" s="48">
        <f t="shared" si="7"/>
        <v>222822</v>
      </c>
      <c r="H34" s="54">
        <f t="shared" si="1"/>
        <v>1.1396029172590858</v>
      </c>
      <c r="I34" s="29">
        <f t="shared" si="5"/>
        <v>-77802</v>
      </c>
      <c r="J34" s="30">
        <f t="shared" si="3"/>
        <v>-0.18597435627754882</v>
      </c>
    </row>
    <row r="35" spans="2:10" ht="15" customHeight="1" x14ac:dyDescent="0.3">
      <c r="B35" s="20" t="s">
        <v>324</v>
      </c>
      <c r="C35" s="28"/>
      <c r="D35" s="21">
        <v>22721</v>
      </c>
      <c r="E35" s="21">
        <v>13835</v>
      </c>
      <c r="F35" s="21">
        <v>17728</v>
      </c>
      <c r="G35" s="48">
        <f t="shared" si="7"/>
        <v>-8886</v>
      </c>
      <c r="H35" s="54">
        <f t="shared" si="1"/>
        <v>-0.39109194137581971</v>
      </c>
      <c r="I35" s="29">
        <f t="shared" si="5"/>
        <v>3893</v>
      </c>
      <c r="J35" s="30">
        <f t="shared" si="3"/>
        <v>0.28138778460426456</v>
      </c>
    </row>
    <row r="36" spans="2:10" ht="15" customHeight="1" x14ac:dyDescent="0.3">
      <c r="B36" s="23" t="s">
        <v>325</v>
      </c>
      <c r="C36" s="31"/>
      <c r="D36" s="18">
        <v>1252055</v>
      </c>
      <c r="E36" s="18">
        <v>236248</v>
      </c>
      <c r="F36" s="18">
        <v>153055</v>
      </c>
      <c r="G36" s="49">
        <f t="shared" si="7"/>
        <v>-1015807</v>
      </c>
      <c r="H36" s="55">
        <f t="shared" si="1"/>
        <v>-0.81131180339521825</v>
      </c>
      <c r="I36" s="32">
        <f t="shared" si="5"/>
        <v>-83193</v>
      </c>
      <c r="J36" s="33">
        <f t="shared" si="3"/>
        <v>-0.35214266364159696</v>
      </c>
    </row>
    <row r="37" spans="2:10" ht="15" customHeight="1" x14ac:dyDescent="0.3">
      <c r="B37" s="20" t="s">
        <v>326</v>
      </c>
      <c r="C37" s="28"/>
      <c r="D37" s="21">
        <v>17121</v>
      </c>
      <c r="E37" s="21">
        <v>3582</v>
      </c>
      <c r="F37" s="21">
        <v>94458</v>
      </c>
      <c r="G37" s="48">
        <f t="shared" si="7"/>
        <v>-13539</v>
      </c>
      <c r="H37" s="54">
        <f t="shared" si="1"/>
        <v>-0.79078324864201854</v>
      </c>
      <c r="I37" s="29">
        <f t="shared" si="5"/>
        <v>90876</v>
      </c>
      <c r="J37" s="30">
        <f t="shared" si="3"/>
        <v>25.370184254606365</v>
      </c>
    </row>
    <row r="38" spans="2:10" ht="15" customHeight="1" x14ac:dyDescent="0.3">
      <c r="B38" s="24" t="s">
        <v>217</v>
      </c>
      <c r="C38" s="25"/>
      <c r="D38" s="26">
        <f>SUM(D19:D37)</f>
        <v>-1472030</v>
      </c>
      <c r="E38" s="26">
        <f>SUM(E19:E37)</f>
        <v>-10324679</v>
      </c>
      <c r="F38" s="26">
        <f>SUM(F19:F37)</f>
        <v>519117</v>
      </c>
      <c r="G38" s="50">
        <f t="shared" si="7"/>
        <v>-8852649</v>
      </c>
      <c r="H38" s="56">
        <f t="shared" si="1"/>
        <v>6.0139052872563736</v>
      </c>
      <c r="I38" s="26">
        <f t="shared" si="5"/>
        <v>10843796</v>
      </c>
      <c r="J38" s="27">
        <f t="shared" si="3"/>
        <v>-1.0502792387056294</v>
      </c>
    </row>
    <row r="39" spans="2:10" ht="15" customHeight="1" x14ac:dyDescent="0.3">
      <c r="B39" s="8"/>
      <c r="C39" s="31"/>
      <c r="D39" s="32"/>
      <c r="E39" s="32"/>
      <c r="F39" s="32"/>
      <c r="G39" s="49"/>
      <c r="H39" s="55"/>
      <c r="I39" s="32"/>
      <c r="J39" s="33"/>
    </row>
    <row r="40" spans="2:10" ht="15" customHeight="1" x14ac:dyDescent="0.3">
      <c r="B40" s="24" t="s">
        <v>218</v>
      </c>
      <c r="C40" s="25"/>
      <c r="D40" s="26"/>
      <c r="E40" s="26"/>
      <c r="F40" s="26"/>
      <c r="G40" s="50"/>
      <c r="H40" s="56"/>
      <c r="I40" s="26"/>
      <c r="J40" s="27"/>
    </row>
    <row r="41" spans="2:10" ht="15" customHeight="1" x14ac:dyDescent="0.3">
      <c r="B41" s="23" t="s">
        <v>219</v>
      </c>
      <c r="C41" s="31" t="s">
        <v>220</v>
      </c>
      <c r="D41" s="18">
        <v>0</v>
      </c>
      <c r="E41" s="18">
        <v>6381860</v>
      </c>
      <c r="F41" s="18">
        <v>3718013</v>
      </c>
      <c r="G41" s="49">
        <f t="shared" ref="G41:G52" si="8">E41-D41</f>
        <v>6381860</v>
      </c>
      <c r="H41" s="55" t="str">
        <f t="shared" si="1"/>
        <v>n.a</v>
      </c>
      <c r="I41" s="32">
        <f t="shared" ref="I41:I52" si="9">F41-E41</f>
        <v>-2663847</v>
      </c>
      <c r="J41" s="33">
        <f t="shared" si="3"/>
        <v>-0.41740918791700227</v>
      </c>
    </row>
    <row r="42" spans="2:10" ht="15" customHeight="1" x14ac:dyDescent="0.3">
      <c r="B42" s="20" t="s">
        <v>221</v>
      </c>
      <c r="C42" s="28" t="s">
        <v>220</v>
      </c>
      <c r="D42" s="21">
        <v>0</v>
      </c>
      <c r="E42" s="21">
        <v>0</v>
      </c>
      <c r="F42" s="21">
        <v>-98240</v>
      </c>
      <c r="G42" s="48">
        <f t="shared" si="8"/>
        <v>0</v>
      </c>
      <c r="H42" s="54" t="str">
        <f t="shared" si="1"/>
        <v>n.a</v>
      </c>
      <c r="I42" s="29">
        <f t="shared" si="9"/>
        <v>-98240</v>
      </c>
      <c r="J42" s="30" t="str">
        <f t="shared" si="3"/>
        <v>n.a</v>
      </c>
    </row>
    <row r="43" spans="2:10" ht="15" customHeight="1" x14ac:dyDescent="0.3">
      <c r="B43" s="23" t="s">
        <v>222</v>
      </c>
      <c r="C43" s="31" t="s">
        <v>220</v>
      </c>
      <c r="D43" s="18">
        <v>-455622</v>
      </c>
      <c r="E43" s="18">
        <v>-434000</v>
      </c>
      <c r="F43" s="18">
        <v>-682000</v>
      </c>
      <c r="G43" s="49">
        <f t="shared" si="8"/>
        <v>21622</v>
      </c>
      <c r="H43" s="55">
        <f t="shared" si="1"/>
        <v>-4.7456005197290735E-2</v>
      </c>
      <c r="I43" s="32">
        <f t="shared" si="9"/>
        <v>-248000</v>
      </c>
      <c r="J43" s="33">
        <f t="shared" si="3"/>
        <v>0.5714285714285714</v>
      </c>
    </row>
    <row r="44" spans="2:10" ht="15" customHeight="1" x14ac:dyDescent="0.3">
      <c r="B44" s="20" t="s">
        <v>223</v>
      </c>
      <c r="C44" s="28" t="s">
        <v>220</v>
      </c>
      <c r="D44" s="21">
        <v>-182015</v>
      </c>
      <c r="E44" s="21">
        <v>-104284</v>
      </c>
      <c r="F44" s="21">
        <v>-85090</v>
      </c>
      <c r="G44" s="48">
        <f t="shared" si="8"/>
        <v>77731</v>
      </c>
      <c r="H44" s="54">
        <f t="shared" si="1"/>
        <v>-0.42705820948822898</v>
      </c>
      <c r="I44" s="29">
        <f t="shared" si="9"/>
        <v>19194</v>
      </c>
      <c r="J44" s="30">
        <f t="shared" si="3"/>
        <v>-0.18405508035748533</v>
      </c>
    </row>
    <row r="45" spans="2:10" ht="15" customHeight="1" x14ac:dyDescent="0.3">
      <c r="B45" s="23" t="s">
        <v>224</v>
      </c>
      <c r="C45" s="31"/>
      <c r="D45" s="18">
        <v>-45291</v>
      </c>
      <c r="E45" s="18">
        <v>-32453</v>
      </c>
      <c r="F45" s="18">
        <v>-45592</v>
      </c>
      <c r="G45" s="49">
        <f t="shared" si="8"/>
        <v>12838</v>
      </c>
      <c r="H45" s="55">
        <f t="shared" si="1"/>
        <v>-0.28345587423549934</v>
      </c>
      <c r="I45" s="32">
        <f t="shared" si="9"/>
        <v>-13139</v>
      </c>
      <c r="J45" s="33">
        <f t="shared" si="3"/>
        <v>0.40486241641758852</v>
      </c>
    </row>
    <row r="46" spans="2:10" ht="15" customHeight="1" x14ac:dyDescent="0.3">
      <c r="B46" s="20" t="s">
        <v>225</v>
      </c>
      <c r="C46" s="28"/>
      <c r="D46" s="21">
        <v>27000</v>
      </c>
      <c r="E46" s="21">
        <v>20592</v>
      </c>
      <c r="F46" s="21">
        <v>0</v>
      </c>
      <c r="G46" s="48">
        <f t="shared" si="8"/>
        <v>-6408</v>
      </c>
      <c r="H46" s="54">
        <f t="shared" si="1"/>
        <v>-0.23733333333333334</v>
      </c>
      <c r="I46" s="29">
        <f t="shared" si="9"/>
        <v>-20592</v>
      </c>
      <c r="J46" s="30">
        <f t="shared" si="3"/>
        <v>-1</v>
      </c>
    </row>
    <row r="47" spans="2:10" ht="15" customHeight="1" x14ac:dyDescent="0.3">
      <c r="B47" s="23" t="s">
        <v>327</v>
      </c>
      <c r="C47" s="31"/>
      <c r="D47" s="18">
        <v>0</v>
      </c>
      <c r="E47" s="18">
        <v>38427</v>
      </c>
      <c r="F47" s="18">
        <v>0</v>
      </c>
      <c r="G47" s="49">
        <f t="shared" si="8"/>
        <v>38427</v>
      </c>
      <c r="H47" s="55" t="str">
        <f t="shared" si="1"/>
        <v>n.a</v>
      </c>
      <c r="I47" s="32">
        <f t="shared" si="9"/>
        <v>-38427</v>
      </c>
      <c r="J47" s="33">
        <f t="shared" si="3"/>
        <v>-1</v>
      </c>
    </row>
    <row r="48" spans="2:10" ht="15" customHeight="1" x14ac:dyDescent="0.3">
      <c r="B48" s="20" t="s">
        <v>226</v>
      </c>
      <c r="C48" s="28" t="s">
        <v>180</v>
      </c>
      <c r="D48" s="21">
        <v>0</v>
      </c>
      <c r="E48" s="21">
        <v>-1199693</v>
      </c>
      <c r="F48" s="21">
        <v>-971404</v>
      </c>
      <c r="G48" s="48">
        <f t="shared" si="8"/>
        <v>-1199693</v>
      </c>
      <c r="H48" s="54" t="str">
        <f t="shared" si="1"/>
        <v>n.a</v>
      </c>
      <c r="I48" s="29">
        <f t="shared" si="9"/>
        <v>228289</v>
      </c>
      <c r="J48" s="30">
        <f t="shared" si="3"/>
        <v>-0.19028951573444206</v>
      </c>
    </row>
    <row r="49" spans="2:10" ht="15" customHeight="1" x14ac:dyDescent="0.3">
      <c r="B49" s="52" t="s">
        <v>344</v>
      </c>
      <c r="C49" s="31"/>
      <c r="D49" s="18">
        <v>2304171</v>
      </c>
      <c r="E49" s="18">
        <v>0</v>
      </c>
      <c r="F49" s="18">
        <v>0</v>
      </c>
      <c r="G49" s="49">
        <f t="shared" si="8"/>
        <v>-2304171</v>
      </c>
      <c r="H49" s="55">
        <f t="shared" si="1"/>
        <v>-1</v>
      </c>
      <c r="I49" s="32">
        <f t="shared" ref="I49:I50" si="10">F49-E49</f>
        <v>0</v>
      </c>
      <c r="J49" s="33" t="str">
        <f t="shared" si="3"/>
        <v>n.a</v>
      </c>
    </row>
    <row r="50" spans="2:10" ht="15" customHeight="1" x14ac:dyDescent="0.3">
      <c r="B50" s="53" t="s">
        <v>345</v>
      </c>
      <c r="C50" s="28"/>
      <c r="D50" s="21">
        <v>-56995</v>
      </c>
      <c r="E50" s="21">
        <v>0</v>
      </c>
      <c r="F50" s="21">
        <v>0</v>
      </c>
      <c r="G50" s="48">
        <f t="shared" si="8"/>
        <v>56995</v>
      </c>
      <c r="H50" s="54">
        <f t="shared" si="1"/>
        <v>-1</v>
      </c>
      <c r="I50" s="29">
        <f t="shared" si="10"/>
        <v>0</v>
      </c>
      <c r="J50" s="30" t="str">
        <f t="shared" si="3"/>
        <v>n.a</v>
      </c>
    </row>
    <row r="51" spans="2:10" ht="15" customHeight="1" x14ac:dyDescent="0.3">
      <c r="B51" s="23" t="s">
        <v>328</v>
      </c>
      <c r="C51" s="31"/>
      <c r="D51" s="18">
        <v>141260</v>
      </c>
      <c r="E51" s="18">
        <v>35090</v>
      </c>
      <c r="F51" s="18">
        <v>51888</v>
      </c>
      <c r="G51" s="49">
        <f t="shared" si="8"/>
        <v>-106170</v>
      </c>
      <c r="H51" s="55">
        <f t="shared" si="1"/>
        <v>-0.75159280758884328</v>
      </c>
      <c r="I51" s="32">
        <f t="shared" si="9"/>
        <v>16798</v>
      </c>
      <c r="J51" s="33">
        <f t="shared" si="3"/>
        <v>0.47871188372755769</v>
      </c>
    </row>
    <row r="52" spans="2:10" ht="15" customHeight="1" x14ac:dyDescent="0.3">
      <c r="B52" s="24" t="s">
        <v>227</v>
      </c>
      <c r="C52" s="25"/>
      <c r="D52" s="26">
        <f>SUM(D41:D51)</f>
        <v>1732508</v>
      </c>
      <c r="E52" s="26">
        <f>SUM(E41:E51)</f>
        <v>4705539</v>
      </c>
      <c r="F52" s="26">
        <f>SUM(F41:F51)</f>
        <v>1887575</v>
      </c>
      <c r="G52" s="50">
        <f t="shared" si="8"/>
        <v>2973031</v>
      </c>
      <c r="H52" s="56">
        <f t="shared" si="1"/>
        <v>1.7160272852996927</v>
      </c>
      <c r="I52" s="26">
        <f t="shared" si="9"/>
        <v>-2817964</v>
      </c>
      <c r="J52" s="27">
        <f t="shared" si="3"/>
        <v>-0.59886104439895194</v>
      </c>
    </row>
    <row r="53" spans="2:10" ht="15" customHeight="1" x14ac:dyDescent="0.3">
      <c r="B53" s="6"/>
      <c r="C53" s="28"/>
      <c r="D53" s="29"/>
      <c r="E53" s="29"/>
      <c r="F53" s="29"/>
      <c r="G53" s="48"/>
      <c r="H53" s="54"/>
      <c r="I53" s="29"/>
      <c r="J53" s="30"/>
    </row>
    <row r="54" spans="2:10" ht="15" customHeight="1" x14ac:dyDescent="0.3">
      <c r="B54" s="24" t="s">
        <v>228</v>
      </c>
      <c r="C54" s="25"/>
      <c r="D54" s="26">
        <f>D16+D38+D52</f>
        <v>-4064830</v>
      </c>
      <c r="E54" s="26">
        <f>E16+E38+E52</f>
        <v>-6241254</v>
      </c>
      <c r="F54" s="26">
        <f>F16+F38+F52</f>
        <v>2713717</v>
      </c>
      <c r="G54" s="50">
        <f t="shared" ref="G54:G57" si="11">E54-D54</f>
        <v>-2176424</v>
      </c>
      <c r="H54" s="56">
        <f t="shared" si="1"/>
        <v>0.53542804988154491</v>
      </c>
      <c r="I54" s="26">
        <f t="shared" ref="I54:I57" si="12">F54-E54</f>
        <v>8954971</v>
      </c>
      <c r="J54" s="27">
        <f t="shared" si="3"/>
        <v>-1.4348031661585956</v>
      </c>
    </row>
    <row r="55" spans="2:10" ht="15" customHeight="1" x14ac:dyDescent="0.3">
      <c r="B55" s="6" t="s">
        <v>229</v>
      </c>
      <c r="C55" s="28"/>
      <c r="D55" s="21">
        <v>29009177</v>
      </c>
      <c r="E55" s="21">
        <v>24843952</v>
      </c>
      <c r="F55" s="21">
        <v>18827578</v>
      </c>
      <c r="G55" s="48">
        <f t="shared" si="11"/>
        <v>-4165225</v>
      </c>
      <c r="H55" s="54">
        <f t="shared" si="1"/>
        <v>-0.14358301167937304</v>
      </c>
      <c r="I55" s="29">
        <f t="shared" si="12"/>
        <v>-6016374</v>
      </c>
      <c r="J55" s="30">
        <f t="shared" si="3"/>
        <v>-0.24216654419554506</v>
      </c>
    </row>
    <row r="56" spans="2:10" ht="15" customHeight="1" x14ac:dyDescent="0.3">
      <c r="B56" s="8" t="s">
        <v>230</v>
      </c>
      <c r="C56" s="31"/>
      <c r="D56" s="18">
        <v>-100395</v>
      </c>
      <c r="E56" s="18">
        <v>224880</v>
      </c>
      <c r="F56" s="18">
        <v>213870</v>
      </c>
      <c r="G56" s="49">
        <f t="shared" si="11"/>
        <v>325275</v>
      </c>
      <c r="H56" s="55">
        <f t="shared" si="1"/>
        <v>-3.2399521888540268</v>
      </c>
      <c r="I56" s="32">
        <f t="shared" si="12"/>
        <v>-11010</v>
      </c>
      <c r="J56" s="33">
        <f t="shared" si="3"/>
        <v>-4.8959445037353257E-2</v>
      </c>
    </row>
    <row r="57" spans="2:10" ht="15" customHeight="1" x14ac:dyDescent="0.3">
      <c r="B57" s="24" t="s">
        <v>231</v>
      </c>
      <c r="C57" s="25"/>
      <c r="D57" s="26">
        <f>SUM(D54:D56)</f>
        <v>24843952</v>
      </c>
      <c r="E57" s="26">
        <f>SUM(E54:E56)</f>
        <v>18827578</v>
      </c>
      <c r="F57" s="26">
        <f>SUM(F54:F56)</f>
        <v>21755165</v>
      </c>
      <c r="G57" s="50">
        <f t="shared" si="11"/>
        <v>-6016374</v>
      </c>
      <c r="H57" s="56">
        <f t="shared" si="1"/>
        <v>-0.24216654419554506</v>
      </c>
      <c r="I57" s="26">
        <f t="shared" si="12"/>
        <v>2927587</v>
      </c>
      <c r="J57" s="27">
        <f t="shared" si="3"/>
        <v>0.15549461539875176</v>
      </c>
    </row>
    <row r="58" spans="2:10" ht="15" customHeight="1" x14ac:dyDescent="0.3">
      <c r="B58" s="8"/>
      <c r="C58" s="31"/>
      <c r="D58" s="31"/>
      <c r="E58" s="32"/>
      <c r="F58" s="32"/>
      <c r="G58" s="32"/>
      <c r="H58" s="32"/>
      <c r="I58" s="32"/>
      <c r="J58" s="33"/>
    </row>
    <row r="59" spans="2:10" ht="15" customHeight="1" x14ac:dyDescent="0.3">
      <c r="B59" s="217" t="s">
        <v>232</v>
      </c>
      <c r="C59" s="217"/>
      <c r="D59" s="217"/>
      <c r="E59" s="217"/>
      <c r="F59" s="217"/>
      <c r="G59" s="217"/>
      <c r="H59" s="217"/>
      <c r="I59" s="217"/>
      <c r="J59" s="217"/>
    </row>
    <row r="60" spans="2:10" ht="15" customHeight="1" x14ac:dyDescent="0.3">
      <c r="B60" s="8" t="s">
        <v>233</v>
      </c>
      <c r="C60" s="31"/>
      <c r="D60" s="32">
        <f>D16</f>
        <v>-4325308</v>
      </c>
      <c r="E60" s="32">
        <f>E16</f>
        <v>-622114</v>
      </c>
      <c r="F60" s="32">
        <f>F16</f>
        <v>307025</v>
      </c>
      <c r="G60" s="32">
        <f t="shared" ref="G60:G63" si="13">E60-D60</f>
        <v>3703194</v>
      </c>
      <c r="H60" s="33">
        <f t="shared" ref="H60:H63" si="14">IF(D60=0,"n.a",G60/D60)</f>
        <v>-0.85616885548959754</v>
      </c>
      <c r="I60" s="32">
        <f t="shared" ref="I60:I62" si="15">F60-E60</f>
        <v>929139</v>
      </c>
      <c r="J60" s="33">
        <f t="shared" ref="J60:J63" si="16">IF(E60=0,"n.a", I60/E60)</f>
        <v>-1.4935188727467956</v>
      </c>
    </row>
    <row r="61" spans="2:10" ht="15" customHeight="1" x14ac:dyDescent="0.3">
      <c r="B61" s="6" t="s">
        <v>234</v>
      </c>
      <c r="C61" s="28"/>
      <c r="D61" s="29">
        <f>D19+D20</f>
        <v>-220447</v>
      </c>
      <c r="E61" s="29">
        <f>E19+E20</f>
        <v>-6518862</v>
      </c>
      <c r="F61" s="29">
        <f>F19+F20</f>
        <v>-1182360</v>
      </c>
      <c r="G61" s="29">
        <f t="shared" si="13"/>
        <v>-6298415</v>
      </c>
      <c r="H61" s="30">
        <f t="shared" si="14"/>
        <v>28.571107794617301</v>
      </c>
      <c r="I61" s="29">
        <f t="shared" si="15"/>
        <v>5336502</v>
      </c>
      <c r="J61" s="30">
        <f t="shared" si="16"/>
        <v>-0.81862478450993437</v>
      </c>
    </row>
    <row r="62" spans="2:10" ht="15" customHeight="1" x14ac:dyDescent="0.3">
      <c r="B62" s="24" t="s">
        <v>235</v>
      </c>
      <c r="C62" s="25"/>
      <c r="D62" s="26">
        <f>D60-ABS(D61)</f>
        <v>-4545755</v>
      </c>
      <c r="E62" s="26">
        <f>E60-ABS(E61)</f>
        <v>-7140976</v>
      </c>
      <c r="F62" s="26">
        <f>F60-ABS(F61)</f>
        <v>-875335</v>
      </c>
      <c r="G62" s="26">
        <f t="shared" si="13"/>
        <v>-2595221</v>
      </c>
      <c r="H62" s="27">
        <f t="shared" si="14"/>
        <v>0.5709108827906475</v>
      </c>
      <c r="I62" s="26">
        <f t="shared" si="15"/>
        <v>6265641</v>
      </c>
      <c r="J62" s="27">
        <f t="shared" si="16"/>
        <v>-0.87742081754650902</v>
      </c>
    </row>
    <row r="63" spans="2:10" ht="15" customHeight="1" x14ac:dyDescent="0.3">
      <c r="B63" s="6" t="s">
        <v>55</v>
      </c>
      <c r="C63" s="28"/>
      <c r="D63" s="30">
        <f>D62/IS!D4</f>
        <v>-0.30744698925135533</v>
      </c>
      <c r="E63" s="30">
        <f>E62/IS!E4</f>
        <v>-0.44927447056716985</v>
      </c>
      <c r="F63" s="30">
        <f>F62/IS!F4</f>
        <v>-4.7774774061316166E-2</v>
      </c>
      <c r="G63" s="30">
        <f t="shared" si="13"/>
        <v>-0.14182748131581452</v>
      </c>
      <c r="H63" s="30">
        <f t="shared" si="14"/>
        <v>0.46130710748272286</v>
      </c>
      <c r="I63" s="191">
        <f>F63-E63</f>
        <v>0.40149969650585371</v>
      </c>
      <c r="J63" s="30">
        <f t="shared" si="16"/>
        <v>-0.89366238860399827</v>
      </c>
    </row>
  </sheetData>
  <mergeCells count="3">
    <mergeCell ref="B1:J1"/>
    <mergeCell ref="B2:J2"/>
    <mergeCell ref="B59:J59"/>
  </mergeCells>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O12"/>
  <sheetViews>
    <sheetView tabSelected="1" zoomScale="106" zoomScaleNormal="90" workbookViewId="0">
      <pane xSplit="2" ySplit="3" topLeftCell="C4" activePane="bottomRight" state="frozen"/>
      <selection pane="topRight" activeCell="C1" sqref="C1"/>
      <selection pane="bottomLeft" activeCell="A4" sqref="A4"/>
      <selection pane="bottomRight" activeCell="D17" sqref="D17"/>
    </sheetView>
  </sheetViews>
  <sheetFormatPr defaultColWidth="8.6640625" defaultRowHeight="14.4" x14ac:dyDescent="0.3"/>
  <cols>
    <col min="1" max="1" width="3" style="1" customWidth="1"/>
    <col min="2" max="2" width="38" style="1" customWidth="1"/>
    <col min="3" max="3" width="20.33203125" style="1" customWidth="1"/>
    <col min="4" max="7" width="16" style="1" customWidth="1"/>
    <col min="8" max="8" width="11.21875" style="1" customWidth="1"/>
    <col min="9" max="9" width="16.109375" style="1" customWidth="1"/>
    <col min="10" max="10" width="13.109375" style="1" customWidth="1"/>
    <col min="11" max="11" width="12" style="1" customWidth="1"/>
    <col min="12" max="14" width="14.77734375" style="1" bestFit="1" customWidth="1"/>
    <col min="20" max="20" width="26" bestFit="1" customWidth="1"/>
    <col min="21" max="21" width="13" customWidth="1"/>
    <col min="22" max="22" width="13.77734375" customWidth="1"/>
    <col min="23" max="23" width="13" customWidth="1"/>
  </cols>
  <sheetData>
    <row r="1" spans="2:15" ht="24" customHeight="1" x14ac:dyDescent="0.3">
      <c r="B1" s="218" t="s">
        <v>390</v>
      </c>
      <c r="C1" s="218"/>
      <c r="D1" s="209"/>
      <c r="E1" s="209"/>
      <c r="F1" s="209"/>
      <c r="G1" s="209"/>
      <c r="H1" s="209"/>
      <c r="I1" s="209"/>
      <c r="J1" s="209"/>
      <c r="K1" s="209"/>
      <c r="L1" s="176"/>
      <c r="M1" s="176"/>
      <c r="N1" s="176"/>
    </row>
    <row r="2" spans="2:15" ht="15" customHeight="1" x14ac:dyDescent="0.3">
      <c r="B2" s="216" t="s">
        <v>446</v>
      </c>
      <c r="C2" s="210"/>
      <c r="D2" s="210"/>
      <c r="E2" s="210"/>
      <c r="F2" s="210"/>
      <c r="G2" s="210"/>
      <c r="H2" s="210"/>
      <c r="I2" s="210"/>
      <c r="J2" s="210"/>
      <c r="K2" s="210"/>
      <c r="L2" s="177"/>
      <c r="M2" s="177"/>
      <c r="N2" s="177"/>
    </row>
    <row r="3" spans="2:15" ht="27.6" customHeight="1" x14ac:dyDescent="0.3">
      <c r="B3" s="17" t="s">
        <v>302</v>
      </c>
      <c r="C3" s="51" t="s">
        <v>336</v>
      </c>
      <c r="D3" s="17" t="s">
        <v>39</v>
      </c>
      <c r="E3" s="17" t="s">
        <v>40</v>
      </c>
      <c r="F3" s="51" t="s">
        <v>352</v>
      </c>
      <c r="G3" s="51" t="s">
        <v>353</v>
      </c>
      <c r="H3" s="51" t="s">
        <v>354</v>
      </c>
      <c r="I3" s="51" t="s">
        <v>355</v>
      </c>
      <c r="J3" s="51" t="s">
        <v>356</v>
      </c>
      <c r="K3" s="17" t="s">
        <v>303</v>
      </c>
      <c r="L3" s="51" t="s">
        <v>377</v>
      </c>
      <c r="M3" s="51" t="s">
        <v>378</v>
      </c>
      <c r="N3" s="51" t="s">
        <v>379</v>
      </c>
    </row>
    <row r="4" spans="2:15" ht="15.75" customHeight="1" x14ac:dyDescent="0.3">
      <c r="B4" s="208" t="s">
        <v>304</v>
      </c>
      <c r="C4" s="208"/>
      <c r="D4" s="208"/>
      <c r="E4" s="208"/>
      <c r="F4" s="208"/>
      <c r="G4" s="208"/>
      <c r="H4" s="208"/>
      <c r="I4" s="208"/>
      <c r="J4" s="208"/>
      <c r="K4" s="208"/>
      <c r="L4" s="182"/>
      <c r="M4" s="182"/>
      <c r="N4" s="182"/>
    </row>
    <row r="5" spans="2:15" ht="15" customHeight="1" x14ac:dyDescent="0.3">
      <c r="B5" s="20" t="s">
        <v>329</v>
      </c>
      <c r="C5" s="21">
        <v>2131131</v>
      </c>
      <c r="D5" s="21">
        <v>5344984</v>
      </c>
      <c r="E5" s="21">
        <v>5779206</v>
      </c>
      <c r="F5" s="48">
        <f>D5-C5</f>
        <v>3213853</v>
      </c>
      <c r="G5" s="178">
        <f>IF(C5=0,100%,F5/ABS(C5))</f>
        <v>1.5080504201759535</v>
      </c>
      <c r="H5" s="178">
        <f>D5/$D$11</f>
        <v>0.336279642557263</v>
      </c>
      <c r="I5" s="29">
        <f>E5-D5</f>
        <v>434222</v>
      </c>
      <c r="J5" s="30">
        <f>I5/D5</f>
        <v>8.1239158059219635E-2</v>
      </c>
      <c r="K5" s="30">
        <f>E5/$E$11</f>
        <v>0.31542239360222402</v>
      </c>
      <c r="L5" s="185">
        <f>$E5*(1+ASSUMPTIONS!K5)</f>
        <v>6068166.2999999998</v>
      </c>
      <c r="M5" s="185">
        <f>$E5*(1+ASSUMPTIONS!L5)</f>
        <v>6212646.4500000002</v>
      </c>
      <c r="N5" s="185">
        <f>$E5*(1+ASSUMPTIONS!M5)</f>
        <v>6299334.54</v>
      </c>
    </row>
    <row r="6" spans="2:15" ht="15" customHeight="1" x14ac:dyDescent="0.3">
      <c r="B6" s="23" t="s">
        <v>330</v>
      </c>
      <c r="C6" s="18">
        <v>8665040</v>
      </c>
      <c r="D6" s="18">
        <v>5801835</v>
      </c>
      <c r="E6" s="18">
        <v>5689230</v>
      </c>
      <c r="F6" s="49">
        <f t="shared" ref="F6:F10" si="0">D6-C6</f>
        <v>-2863205</v>
      </c>
      <c r="G6" s="179">
        <f t="shared" ref="G6:G10" si="1">IF(C6=0,100%,F6/ABS(C6))</f>
        <v>-0.33043182720449071</v>
      </c>
      <c r="H6" s="179">
        <f t="shared" ref="H6:H10" si="2">D6/$D$11</f>
        <v>0.36502242101682963</v>
      </c>
      <c r="I6" s="32">
        <f t="shared" ref="I6:I11" si="3">E6-D6</f>
        <v>-112605</v>
      </c>
      <c r="J6" s="33">
        <f t="shared" ref="J6:J11" si="4">I6/D6</f>
        <v>-1.9408514719911889E-2</v>
      </c>
      <c r="K6" s="33">
        <f t="shared" ref="K6:K11" si="5">E6/$E$11</f>
        <v>0.31051160736502226</v>
      </c>
      <c r="L6" s="186">
        <f>$E6*(1+ASSUMPTIONS!K6)</f>
        <v>5518553.0999999996</v>
      </c>
      <c r="M6" s="186">
        <f>$E6*(1+ASSUMPTIONS!L6)</f>
        <v>5632337.7000000002</v>
      </c>
      <c r="N6" s="186">
        <f>$E6*(1+ASSUMPTIONS!M6)</f>
        <v>5746122.2999999998</v>
      </c>
    </row>
    <row r="7" spans="2:15" ht="15" customHeight="1" x14ac:dyDescent="0.3">
      <c r="B7" s="20" t="s">
        <v>331</v>
      </c>
      <c r="C7" s="21">
        <v>409955</v>
      </c>
      <c r="D7" s="21">
        <v>1935389</v>
      </c>
      <c r="E7" s="21">
        <v>3780801</v>
      </c>
      <c r="F7" s="48">
        <f t="shared" si="0"/>
        <v>1525434</v>
      </c>
      <c r="G7" s="178">
        <f t="shared" si="1"/>
        <v>3.7209791318559353</v>
      </c>
      <c r="H7" s="178">
        <f t="shared" si="2"/>
        <v>0.12176498959197235</v>
      </c>
      <c r="I7" s="29">
        <f t="shared" si="3"/>
        <v>1845412</v>
      </c>
      <c r="J7" s="30">
        <f t="shared" si="4"/>
        <v>0.95350960452911537</v>
      </c>
      <c r="K7" s="30">
        <f t="shared" si="5"/>
        <v>0.20635175509467601</v>
      </c>
      <c r="L7" s="185">
        <f>$E7*(1+ASSUMPTIONS!K7)</f>
        <v>5104081.3500000006</v>
      </c>
      <c r="M7" s="185">
        <f>$E7*(1+ASSUMPTIONS!L7)</f>
        <v>5671201.5</v>
      </c>
      <c r="N7" s="185">
        <f>$E7*(1+ASSUMPTIONS!M7)</f>
        <v>6616401.75</v>
      </c>
    </row>
    <row r="8" spans="2:15" ht="15" customHeight="1" x14ac:dyDescent="0.3">
      <c r="B8" s="23" t="s">
        <v>332</v>
      </c>
      <c r="C8" s="18">
        <v>0</v>
      </c>
      <c r="D8" s="18">
        <v>621871</v>
      </c>
      <c r="E8" s="18">
        <v>819724</v>
      </c>
      <c r="F8" s="49">
        <f t="shared" si="0"/>
        <v>621871</v>
      </c>
      <c r="G8" s="179">
        <f t="shared" si="1"/>
        <v>1</v>
      </c>
      <c r="H8" s="179">
        <f t="shared" si="2"/>
        <v>3.9125010962937912E-2</v>
      </c>
      <c r="I8" s="32">
        <f t="shared" si="3"/>
        <v>197853</v>
      </c>
      <c r="J8" s="33">
        <f t="shared" si="4"/>
        <v>0.31815762433044797</v>
      </c>
      <c r="K8" s="33">
        <f t="shared" si="5"/>
        <v>4.4739589862896299E-2</v>
      </c>
      <c r="L8" s="151">
        <f>$E8*(1+ASSUMPTIONS!K8)</f>
        <v>942682.6</v>
      </c>
      <c r="M8" s="151">
        <f>$E8*(1+ASSUMPTIONS!L8)</f>
        <v>1000063.28</v>
      </c>
      <c r="N8" s="151">
        <f>$E8*(1+ASSUMPTIONS!M8)</f>
        <v>1065641.2</v>
      </c>
      <c r="O8" s="183"/>
    </row>
    <row r="9" spans="2:15" ht="15" customHeight="1" x14ac:dyDescent="0.3">
      <c r="B9" s="20" t="s">
        <v>333</v>
      </c>
      <c r="C9" s="21">
        <v>2195135</v>
      </c>
      <c r="D9" s="21">
        <v>554997</v>
      </c>
      <c r="E9" s="21">
        <v>533268</v>
      </c>
      <c r="F9" s="48">
        <f t="shared" si="0"/>
        <v>-1640138</v>
      </c>
      <c r="G9" s="178">
        <f t="shared" si="1"/>
        <v>-0.74716953626997884</v>
      </c>
      <c r="H9" s="178">
        <f t="shared" si="2"/>
        <v>3.4917633575769977E-2</v>
      </c>
      <c r="I9" s="29">
        <f t="shared" si="3"/>
        <v>-21729</v>
      </c>
      <c r="J9" s="30">
        <f t="shared" si="4"/>
        <v>-3.9151562981421521E-2</v>
      </c>
      <c r="K9" s="30">
        <f t="shared" si="5"/>
        <v>2.9105151986530815E-2</v>
      </c>
      <c r="L9" s="185">
        <f>$E9*(1+ASSUMPTIONS!K9)</f>
        <v>506604.6</v>
      </c>
      <c r="M9" s="185">
        <f>$E9*(1+ASSUMPTIONS!L9)</f>
        <v>533268</v>
      </c>
      <c r="N9" s="185">
        <f>$E9*(1+ASSUMPTIONS!M9)</f>
        <v>559931.4</v>
      </c>
      <c r="O9" s="184"/>
    </row>
    <row r="10" spans="2:15" x14ac:dyDescent="0.3">
      <c r="B10" s="23" t="s">
        <v>334</v>
      </c>
      <c r="C10" s="18">
        <v>1384231</v>
      </c>
      <c r="D10" s="18">
        <v>1635386</v>
      </c>
      <c r="E10" s="18">
        <v>1719888</v>
      </c>
      <c r="F10" s="49">
        <f t="shared" si="0"/>
        <v>251155</v>
      </c>
      <c r="G10" s="179">
        <f t="shared" si="1"/>
        <v>0.18144009200776459</v>
      </c>
      <c r="H10" s="179">
        <f t="shared" si="2"/>
        <v>0.10289030229522711</v>
      </c>
      <c r="I10" s="32">
        <f t="shared" si="3"/>
        <v>84502</v>
      </c>
      <c r="J10" s="33">
        <f t="shared" si="4"/>
        <v>5.1670981652038109E-2</v>
      </c>
      <c r="K10" s="33">
        <f t="shared" si="5"/>
        <v>9.3869502088650567E-2</v>
      </c>
      <c r="L10" s="186">
        <f>$E10*(1+ASSUMPTIONS!K10)</f>
        <v>1754285.76</v>
      </c>
      <c r="M10" s="186">
        <f>$E10*(1+ASSUMPTIONS!L10)</f>
        <v>1805882.4000000001</v>
      </c>
      <c r="N10" s="186">
        <f>$E10*(1+ASSUMPTIONS!M10)</f>
        <v>1840280.1600000001</v>
      </c>
    </row>
    <row r="11" spans="2:15" x14ac:dyDescent="0.3">
      <c r="B11" s="20" t="s">
        <v>335</v>
      </c>
      <c r="C11" s="48">
        <f>SUM(C5:C10)</f>
        <v>14785492</v>
      </c>
      <c r="D11" s="48">
        <f>SUM(D5:D10)</f>
        <v>15894462</v>
      </c>
      <c r="E11" s="48">
        <f>SUM(E5:E10)</f>
        <v>18322117</v>
      </c>
      <c r="F11" s="48">
        <f>SUM(F5:F10)</f>
        <v>1108970</v>
      </c>
      <c r="G11" s="178">
        <f>F11/C11</f>
        <v>7.5003929527674831E-2</v>
      </c>
      <c r="H11" s="30">
        <f>SUM(H5:H10)</f>
        <v>0.99999999999999989</v>
      </c>
      <c r="I11" s="29">
        <f t="shared" si="3"/>
        <v>2427655</v>
      </c>
      <c r="J11" s="30">
        <f t="shared" si="4"/>
        <v>0.15273590260557418</v>
      </c>
      <c r="K11" s="30">
        <f t="shared" si="5"/>
        <v>1</v>
      </c>
      <c r="L11" s="185">
        <f>SUM(L5:L10)</f>
        <v>19894373.710000005</v>
      </c>
      <c r="M11" s="185">
        <f t="shared" ref="M11:N11" si="6">SUM(M5:M10)</f>
        <v>20855399.329999998</v>
      </c>
      <c r="N11" s="185">
        <f t="shared" si="6"/>
        <v>22127711.349999998</v>
      </c>
    </row>
    <row r="12" spans="2:15" x14ac:dyDescent="0.3">
      <c r="B12" s="44"/>
      <c r="C12" s="44"/>
      <c r="D12" s="45"/>
      <c r="E12" s="45"/>
      <c r="F12" s="45"/>
      <c r="G12" s="45"/>
      <c r="H12" s="45"/>
      <c r="I12" s="46"/>
      <c r="J12" s="47"/>
      <c r="K12" s="47"/>
      <c r="L12" s="47"/>
      <c r="M12" s="47"/>
      <c r="N12" s="47"/>
    </row>
  </sheetData>
  <mergeCells count="3">
    <mergeCell ref="B1:K1"/>
    <mergeCell ref="B2:K2"/>
    <mergeCell ref="B4:K4"/>
  </mergeCell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9A84C"/>
  </sheetPr>
  <dimension ref="A1:F26"/>
  <sheetViews>
    <sheetView zoomScale="90" zoomScaleNormal="90" workbookViewId="0">
      <pane xSplit="2" ySplit="3" topLeftCell="C4" activePane="bottomRight" state="frozen"/>
      <selection pane="topRight" activeCell="C1" sqref="C1"/>
      <selection pane="bottomLeft" activeCell="A4" sqref="A4"/>
      <selection pane="bottomRight" activeCell="F10" sqref="F10"/>
    </sheetView>
  </sheetViews>
  <sheetFormatPr defaultColWidth="8.6640625" defaultRowHeight="14.4" x14ac:dyDescent="0.3"/>
  <cols>
    <col min="1" max="1" width="3" style="1" customWidth="1"/>
    <col min="2" max="2" width="38" style="1" customWidth="1"/>
    <col min="3" max="4" width="16" style="1" customWidth="1"/>
    <col min="5" max="5" width="12" style="1" customWidth="1"/>
    <col min="6" max="6" width="100" style="1" customWidth="1"/>
  </cols>
  <sheetData>
    <row r="1" spans="2:6" ht="24" customHeight="1" x14ac:dyDescent="0.3">
      <c r="B1" s="209" t="s">
        <v>305</v>
      </c>
      <c r="C1" s="209"/>
      <c r="D1" s="209"/>
      <c r="E1" s="209"/>
      <c r="F1" s="209"/>
    </row>
    <row r="2" spans="2:6" ht="15" customHeight="1" x14ac:dyDescent="0.3">
      <c r="B2" s="210" t="s">
        <v>306</v>
      </c>
      <c r="C2" s="210"/>
      <c r="D2" s="210"/>
      <c r="E2" s="210"/>
      <c r="F2" s="210"/>
    </row>
    <row r="3" spans="2:6" ht="15" customHeight="1" x14ac:dyDescent="0.3">
      <c r="B3" s="17" t="s">
        <v>22</v>
      </c>
      <c r="C3" s="17" t="s">
        <v>39</v>
      </c>
      <c r="D3" s="17" t="s">
        <v>40</v>
      </c>
      <c r="E3" s="17" t="s">
        <v>307</v>
      </c>
      <c r="F3" s="17" t="s">
        <v>308</v>
      </c>
    </row>
    <row r="4" spans="2:6" ht="15" customHeight="1" x14ac:dyDescent="0.3">
      <c r="B4" s="215" t="s">
        <v>309</v>
      </c>
      <c r="C4" s="215"/>
      <c r="D4" s="215"/>
      <c r="E4" s="215"/>
      <c r="F4" s="215"/>
    </row>
    <row r="5" spans="2:6" ht="28.8" customHeight="1" x14ac:dyDescent="0.3">
      <c r="B5" s="203" t="s">
        <v>447</v>
      </c>
      <c r="C5" s="40">
        <f>IS!E4</f>
        <v>15894462</v>
      </c>
      <c r="D5" s="40">
        <f>IS!F4</f>
        <v>18322117</v>
      </c>
      <c r="E5" s="42" t="str">
        <f>IF(D5-C5&gt;0, "↑", "↓")</f>
        <v>↑</v>
      </c>
      <c r="F5" s="195" t="s">
        <v>443</v>
      </c>
    </row>
    <row r="6" spans="2:6" ht="15" customHeight="1" x14ac:dyDescent="0.3">
      <c r="B6" s="8" t="s">
        <v>43</v>
      </c>
      <c r="C6" s="35">
        <f>IS!H4</f>
        <v>7.5003929527674831E-2</v>
      </c>
      <c r="D6" s="35">
        <f>IS!J4</f>
        <v>0.15273590260557418</v>
      </c>
      <c r="E6" s="43" t="str">
        <f>IF(D6-C6&gt;0, "↑", "↓")</f>
        <v>↑</v>
      </c>
      <c r="F6" s="19"/>
    </row>
    <row r="7" spans="2:6" x14ac:dyDescent="0.3">
      <c r="B7" s="146"/>
      <c r="C7" s="146"/>
      <c r="D7" s="146"/>
      <c r="E7" s="146"/>
      <c r="F7" s="146"/>
    </row>
    <row r="8" spans="2:6" ht="15" customHeight="1" x14ac:dyDescent="0.3">
      <c r="B8" s="215" t="s">
        <v>310</v>
      </c>
      <c r="C8" s="215"/>
      <c r="D8" s="215"/>
      <c r="E8" s="215"/>
      <c r="F8" s="215"/>
    </row>
    <row r="9" spans="2:6" ht="30" customHeight="1" x14ac:dyDescent="0.3">
      <c r="B9" s="80" t="s">
        <v>448</v>
      </c>
      <c r="C9" s="49">
        <f>IS!E4-(ABS(IS!E7))</f>
        <v>8481070</v>
      </c>
      <c r="D9" s="49">
        <f>IS!F4-(ABS(IS!F7))</f>
        <v>10576083</v>
      </c>
      <c r="E9" s="43" t="str">
        <f t="shared" ref="E9:E12" si="0">IF(D9-C9&gt;0, "↑", "↓")</f>
        <v>↑</v>
      </c>
      <c r="F9" s="90" t="s">
        <v>457</v>
      </c>
    </row>
    <row r="10" spans="2:6" ht="15" customHeight="1" x14ac:dyDescent="0.3">
      <c r="B10" s="203" t="s">
        <v>47</v>
      </c>
      <c r="C10" s="54">
        <f>C9/IS!E4</f>
        <v>0.53358647810790949</v>
      </c>
      <c r="D10" s="54">
        <f>D9/IS!F4</f>
        <v>0.57723040410668702</v>
      </c>
      <c r="E10" s="42" t="str">
        <f t="shared" si="0"/>
        <v>↑</v>
      </c>
      <c r="F10" s="22"/>
    </row>
    <row r="11" spans="2:6" ht="26.4" customHeight="1" x14ac:dyDescent="0.3">
      <c r="B11" s="80" t="s">
        <v>449</v>
      </c>
      <c r="C11" s="41">
        <f>IS!E15</f>
        <v>-2240874</v>
      </c>
      <c r="D11" s="41">
        <f>IS!F15</f>
        <v>-378254</v>
      </c>
      <c r="E11" s="43" t="str">
        <f t="shared" si="0"/>
        <v>↑</v>
      </c>
      <c r="F11" s="90" t="s">
        <v>444</v>
      </c>
    </row>
    <row r="12" spans="2:6" ht="30.6" customHeight="1" x14ac:dyDescent="0.3">
      <c r="B12" s="203" t="s">
        <v>450</v>
      </c>
      <c r="C12" s="40">
        <f>IS!E31</f>
        <v>-5464855</v>
      </c>
      <c r="D12" s="40">
        <f>IS!F31</f>
        <v>-1501685</v>
      </c>
      <c r="E12" s="42" t="str">
        <f t="shared" si="0"/>
        <v>↑</v>
      </c>
      <c r="F12" s="195" t="s">
        <v>445</v>
      </c>
    </row>
    <row r="13" spans="2:6" x14ac:dyDescent="0.3">
      <c r="B13" s="146"/>
      <c r="C13" s="146"/>
      <c r="D13" s="146"/>
      <c r="E13" s="146"/>
      <c r="F13" s="146"/>
    </row>
    <row r="14" spans="2:6" ht="15" customHeight="1" x14ac:dyDescent="0.3">
      <c r="B14" s="215" t="s">
        <v>311</v>
      </c>
      <c r="C14" s="215"/>
      <c r="D14" s="215"/>
      <c r="E14" s="215"/>
      <c r="F14" s="215"/>
    </row>
    <row r="15" spans="2:6" ht="29.4" customHeight="1" x14ac:dyDescent="0.3">
      <c r="B15" s="80" t="s">
        <v>451</v>
      </c>
      <c r="C15" s="41">
        <f>BS!E6</f>
        <v>19177524</v>
      </c>
      <c r="D15" s="41">
        <f>BS!F6</f>
        <v>21755165</v>
      </c>
      <c r="E15" s="43" t="str">
        <f t="shared" ref="E15:E18" si="1">IF(D15-C15&gt;0, "↑", "↓")</f>
        <v>↑</v>
      </c>
      <c r="F15" s="90" t="s">
        <v>454</v>
      </c>
    </row>
    <row r="16" spans="2:6" ht="30" customHeight="1" x14ac:dyDescent="0.3">
      <c r="B16" s="203" t="s">
        <v>452</v>
      </c>
      <c r="C16" s="40">
        <f>CF!E60</f>
        <v>-622114</v>
      </c>
      <c r="D16" s="40">
        <f>CF!F60</f>
        <v>307025</v>
      </c>
      <c r="E16" s="42" t="str">
        <f t="shared" si="1"/>
        <v>↑</v>
      </c>
      <c r="F16" s="195" t="s">
        <v>455</v>
      </c>
    </row>
    <row r="17" spans="2:6" ht="25.2" customHeight="1" x14ac:dyDescent="0.3">
      <c r="B17" s="80" t="s">
        <v>453</v>
      </c>
      <c r="C17" s="41">
        <f>CF!E62</f>
        <v>-7140976</v>
      </c>
      <c r="D17" s="41">
        <f>CF!F62</f>
        <v>-875335</v>
      </c>
      <c r="E17" s="43" t="str">
        <f t="shared" si="1"/>
        <v>↑</v>
      </c>
      <c r="F17" s="90" t="s">
        <v>456</v>
      </c>
    </row>
    <row r="18" spans="2:6" ht="15" customHeight="1" x14ac:dyDescent="0.3">
      <c r="B18" s="6" t="s">
        <v>55</v>
      </c>
      <c r="C18" s="34">
        <f>CF!E63</f>
        <v>-0.44927447056716985</v>
      </c>
      <c r="D18" s="34">
        <f>CF!F63</f>
        <v>-4.7774774061316166E-2</v>
      </c>
      <c r="E18" s="42" t="str">
        <f t="shared" si="1"/>
        <v>↑</v>
      </c>
      <c r="F18" s="22"/>
    </row>
    <row r="19" spans="2:6" x14ac:dyDescent="0.3">
      <c r="B19" s="146"/>
      <c r="C19" s="146"/>
      <c r="D19" s="146"/>
      <c r="E19" s="146"/>
      <c r="F19" s="146"/>
    </row>
    <row r="20" spans="2:6" ht="15" customHeight="1" x14ac:dyDescent="0.3">
      <c r="B20" s="215" t="s">
        <v>312</v>
      </c>
      <c r="C20" s="215"/>
      <c r="D20" s="215"/>
      <c r="E20" s="215"/>
      <c r="F20" s="215"/>
    </row>
    <row r="21" spans="2:6" ht="15" customHeight="1" x14ac:dyDescent="0.3">
      <c r="B21" s="6" t="s">
        <v>50</v>
      </c>
      <c r="C21" s="54">
        <f>ABS(IS!E8/IS!E4)</f>
        <v>0.27659023627223117</v>
      </c>
      <c r="D21" s="54">
        <f>ABS(IS!F8/IS!F4)</f>
        <v>0.21771092281530569</v>
      </c>
      <c r="E21" s="42" t="str">
        <f t="shared" ref="E21:E23" si="2">IF(D21-C21&gt;0, "↑", "↓")</f>
        <v>↓</v>
      </c>
      <c r="F21" s="22"/>
    </row>
    <row r="22" spans="2:6" ht="15" customHeight="1" x14ac:dyDescent="0.3">
      <c r="B22" s="8" t="s">
        <v>279</v>
      </c>
      <c r="C22" s="55">
        <f>ABS(IS!E9/IS!E4)</f>
        <v>0.17930358385203601</v>
      </c>
      <c r="D22" s="55">
        <f>ABS(IS!F9/IS!F4)</f>
        <v>0.16865540155649045</v>
      </c>
      <c r="E22" s="43" t="str">
        <f t="shared" si="2"/>
        <v>↓</v>
      </c>
      <c r="F22" s="19"/>
    </row>
    <row r="23" spans="2:6" ht="15" customHeight="1" x14ac:dyDescent="0.3">
      <c r="B23" s="6" t="s">
        <v>54</v>
      </c>
      <c r="C23" s="54">
        <f>(BS!E25+BS!E26)/IS!E4</f>
        <v>0.12005848326291257</v>
      </c>
      <c r="D23" s="54">
        <f>(BS!F25+BS!F26)/IS!F4</f>
        <v>0.11938887847949012</v>
      </c>
      <c r="E23" s="42" t="str">
        <f t="shared" si="2"/>
        <v>↓</v>
      </c>
      <c r="F23" s="22"/>
    </row>
    <row r="24" spans="2:6" x14ac:dyDescent="0.3">
      <c r="B24" s="146"/>
      <c r="C24" s="146"/>
      <c r="D24" s="146"/>
      <c r="E24" s="146"/>
      <c r="F24" s="146"/>
    </row>
    <row r="25" spans="2:6" ht="15" customHeight="1" x14ac:dyDescent="0.3">
      <c r="B25" s="215" t="s">
        <v>313</v>
      </c>
      <c r="C25" s="215"/>
      <c r="D25" s="215"/>
      <c r="E25" s="215"/>
      <c r="F25" s="215"/>
    </row>
    <row r="26" spans="2:6" ht="15" customHeight="1" x14ac:dyDescent="0.3">
      <c r="B26" s="8" t="s">
        <v>314</v>
      </c>
      <c r="C26" s="181">
        <f>IS!E37</f>
        <v>-4.8</v>
      </c>
      <c r="D26" s="181">
        <f>IS!F37</f>
        <v>-1.1000000000000001</v>
      </c>
      <c r="E26" s="43" t="str">
        <f t="shared" ref="E26" si="3">IF(D26-C26&gt;0, "↑", "↓")</f>
        <v>↑</v>
      </c>
      <c r="F26" s="180" t="s">
        <v>389</v>
      </c>
    </row>
  </sheetData>
  <mergeCells count="7">
    <mergeCell ref="B20:F20"/>
    <mergeCell ref="B25:F25"/>
    <mergeCell ref="B1:F1"/>
    <mergeCell ref="B2:F2"/>
    <mergeCell ref="B4:F4"/>
    <mergeCell ref="B8:F8"/>
    <mergeCell ref="B14:F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B59B6"/>
  </sheetPr>
  <dimension ref="A1:F42"/>
  <sheetViews>
    <sheetView zoomScale="90" zoomScaleNormal="90" workbookViewId="0">
      <pane xSplit="2" ySplit="3" topLeftCell="C4" activePane="bottomRight" state="frozen"/>
      <selection pane="topRight" activeCell="C1" sqref="C1"/>
      <selection pane="bottomLeft" activeCell="A4" sqref="A4"/>
      <selection pane="bottomRight" activeCell="C5" sqref="C5"/>
    </sheetView>
  </sheetViews>
  <sheetFormatPr defaultColWidth="8.6640625" defaultRowHeight="14.4" x14ac:dyDescent="0.3"/>
  <cols>
    <col min="1" max="1" width="3" style="1" customWidth="1"/>
    <col min="2" max="2" width="40" style="1" customWidth="1"/>
    <col min="3" max="4" width="16" style="1" customWidth="1"/>
    <col min="5" max="5" width="14" style="1" customWidth="1"/>
    <col min="6" max="6" width="26" style="1" customWidth="1"/>
  </cols>
  <sheetData>
    <row r="1" spans="2:6" ht="24" customHeight="1" x14ac:dyDescent="0.3">
      <c r="B1" s="209" t="s">
        <v>236</v>
      </c>
      <c r="C1" s="209"/>
      <c r="D1" s="209"/>
      <c r="E1" s="209"/>
      <c r="F1" s="209"/>
    </row>
    <row r="2" spans="2:6" ht="15" customHeight="1" x14ac:dyDescent="0.3">
      <c r="B2" s="210" t="s">
        <v>237</v>
      </c>
      <c r="C2" s="210"/>
      <c r="D2" s="210"/>
      <c r="E2" s="210"/>
      <c r="F2" s="210"/>
    </row>
    <row r="3" spans="2:6" ht="15" customHeight="1" x14ac:dyDescent="0.3">
      <c r="B3" s="17" t="s">
        <v>238</v>
      </c>
      <c r="C3" s="17" t="s">
        <v>39</v>
      </c>
      <c r="D3" s="17" t="s">
        <v>40</v>
      </c>
      <c r="E3" s="17" t="s">
        <v>239</v>
      </c>
      <c r="F3" s="17" t="s">
        <v>240</v>
      </c>
    </row>
    <row r="4" spans="2:6" ht="15.75" customHeight="1" x14ac:dyDescent="0.3">
      <c r="B4" s="208" t="s">
        <v>241</v>
      </c>
      <c r="C4" s="208"/>
      <c r="D4" s="208"/>
      <c r="E4" s="208"/>
      <c r="F4" s="3"/>
    </row>
    <row r="5" spans="2:6" ht="15" customHeight="1" x14ac:dyDescent="0.3">
      <c r="B5" s="6" t="s">
        <v>242</v>
      </c>
      <c r="C5" s="34"/>
      <c r="D5" s="34"/>
      <c r="E5" s="30"/>
      <c r="F5" s="22" t="s">
        <v>243</v>
      </c>
    </row>
    <row r="6" spans="2:6" ht="15" customHeight="1" x14ac:dyDescent="0.3">
      <c r="B6" s="8" t="s">
        <v>244</v>
      </c>
      <c r="C6" s="35"/>
      <c r="D6" s="35"/>
      <c r="E6" s="33"/>
      <c r="F6" s="19" t="s">
        <v>245</v>
      </c>
    </row>
    <row r="7" spans="2:6" ht="15" customHeight="1" x14ac:dyDescent="0.3">
      <c r="B7" s="6" t="s">
        <v>246</v>
      </c>
      <c r="C7" s="34"/>
      <c r="D7" s="34"/>
      <c r="E7" s="30"/>
      <c r="F7" s="22" t="s">
        <v>247</v>
      </c>
    </row>
    <row r="8" spans="2:6" ht="15" customHeight="1" x14ac:dyDescent="0.3">
      <c r="B8" s="8" t="s">
        <v>248</v>
      </c>
      <c r="C8" s="35"/>
      <c r="D8" s="35"/>
      <c r="E8" s="33"/>
      <c r="F8" s="19" t="s">
        <v>249</v>
      </c>
    </row>
    <row r="9" spans="2:6" ht="15" customHeight="1" x14ac:dyDescent="0.3">
      <c r="B9" s="6" t="s">
        <v>250</v>
      </c>
      <c r="C9" s="34"/>
      <c r="D9" s="34"/>
      <c r="E9" s="30"/>
      <c r="F9" s="22" t="s">
        <v>251</v>
      </c>
    </row>
    <row r="10" spans="2:6" ht="15" customHeight="1" x14ac:dyDescent="0.3">
      <c r="B10" s="8" t="s">
        <v>252</v>
      </c>
      <c r="C10" s="35"/>
      <c r="D10" s="35"/>
      <c r="E10" s="33"/>
      <c r="F10" s="19" t="s">
        <v>253</v>
      </c>
    </row>
    <row r="11" spans="2:6" ht="15.75" customHeight="1" x14ac:dyDescent="0.3">
      <c r="B11" s="208" t="s">
        <v>254</v>
      </c>
      <c r="C11" s="208"/>
      <c r="D11" s="208"/>
      <c r="E11" s="208"/>
      <c r="F11" s="3"/>
    </row>
    <row r="12" spans="2:6" ht="15" customHeight="1" x14ac:dyDescent="0.3">
      <c r="B12" s="8" t="s">
        <v>255</v>
      </c>
      <c r="C12" s="36"/>
      <c r="D12" s="36"/>
      <c r="E12" s="37"/>
      <c r="F12" s="19" t="s">
        <v>256</v>
      </c>
    </row>
    <row r="13" spans="2:6" ht="15" customHeight="1" x14ac:dyDescent="0.3">
      <c r="B13" s="6" t="s">
        <v>257</v>
      </c>
      <c r="C13" s="38"/>
      <c r="D13" s="38"/>
      <c r="E13" s="39"/>
      <c r="F13" s="22" t="s">
        <v>258</v>
      </c>
    </row>
    <row r="14" spans="2:6" ht="15" customHeight="1" x14ac:dyDescent="0.3">
      <c r="B14" s="8" t="s">
        <v>259</v>
      </c>
      <c r="C14" s="36"/>
      <c r="D14" s="36"/>
      <c r="E14" s="37"/>
      <c r="F14" s="19" t="s">
        <v>260</v>
      </c>
    </row>
    <row r="15" spans="2:6" ht="15" customHeight="1" x14ac:dyDescent="0.3">
      <c r="B15" s="6" t="s">
        <v>51</v>
      </c>
      <c r="C15" s="40"/>
      <c r="D15" s="40"/>
      <c r="E15" s="29"/>
      <c r="F15" s="22" t="s">
        <v>261</v>
      </c>
    </row>
    <row r="16" spans="2:6" ht="15" customHeight="1" x14ac:dyDescent="0.3">
      <c r="B16" s="8" t="s">
        <v>52</v>
      </c>
      <c r="C16" s="35"/>
      <c r="D16" s="35"/>
      <c r="E16" s="33"/>
      <c r="F16" s="19" t="s">
        <v>262</v>
      </c>
    </row>
    <row r="17" spans="2:6" ht="15.75" customHeight="1" x14ac:dyDescent="0.3">
      <c r="B17" s="208" t="s">
        <v>263</v>
      </c>
      <c r="C17" s="208"/>
      <c r="D17" s="208"/>
      <c r="E17" s="208"/>
      <c r="F17" s="208"/>
    </row>
    <row r="18" spans="2:6" ht="15" customHeight="1" x14ac:dyDescent="0.3">
      <c r="B18" s="8" t="s">
        <v>53</v>
      </c>
      <c r="C18" s="41"/>
      <c r="D18" s="41"/>
      <c r="E18" s="32"/>
      <c r="F18" s="19" t="s">
        <v>264</v>
      </c>
    </row>
    <row r="19" spans="2:6" ht="15" customHeight="1" x14ac:dyDescent="0.3">
      <c r="B19" s="6" t="s">
        <v>265</v>
      </c>
      <c r="C19" s="40"/>
      <c r="D19" s="40"/>
      <c r="E19" s="29"/>
      <c r="F19" s="22" t="s">
        <v>266</v>
      </c>
    </row>
    <row r="20" spans="2:6" ht="15" customHeight="1" x14ac:dyDescent="0.3">
      <c r="B20" s="8" t="s">
        <v>267</v>
      </c>
      <c r="C20" s="36"/>
      <c r="D20" s="36"/>
      <c r="E20" s="37"/>
      <c r="F20" s="19" t="s">
        <v>268</v>
      </c>
    </row>
    <row r="21" spans="2:6" ht="15" customHeight="1" x14ac:dyDescent="0.3">
      <c r="B21" s="6" t="s">
        <v>269</v>
      </c>
      <c r="C21" s="34"/>
      <c r="D21" s="34"/>
      <c r="E21" s="30"/>
      <c r="F21" s="22" t="s">
        <v>270</v>
      </c>
    </row>
    <row r="22" spans="2:6" ht="15" customHeight="1" x14ac:dyDescent="0.3">
      <c r="B22" s="8" t="s">
        <v>271</v>
      </c>
      <c r="C22" s="36"/>
      <c r="D22" s="36"/>
      <c r="E22" s="37"/>
      <c r="F22" s="19" t="s">
        <v>272</v>
      </c>
    </row>
    <row r="23" spans="2:6" ht="15.75" customHeight="1" x14ac:dyDescent="0.3">
      <c r="B23" s="208" t="s">
        <v>273</v>
      </c>
      <c r="C23" s="208"/>
      <c r="D23" s="208"/>
      <c r="E23" s="208"/>
      <c r="F23" s="208"/>
    </row>
    <row r="24" spans="2:6" ht="15" customHeight="1" x14ac:dyDescent="0.3">
      <c r="B24" s="8" t="s">
        <v>274</v>
      </c>
      <c r="C24" s="36"/>
      <c r="D24" s="36"/>
      <c r="E24" s="37"/>
      <c r="F24" s="19" t="s">
        <v>275</v>
      </c>
    </row>
    <row r="25" spans="2:6" ht="15" customHeight="1" x14ac:dyDescent="0.3">
      <c r="B25" s="6" t="s">
        <v>276</v>
      </c>
      <c r="C25" s="38"/>
      <c r="D25" s="38"/>
      <c r="E25" s="39"/>
      <c r="F25" s="22" t="s">
        <v>277</v>
      </c>
    </row>
    <row r="26" spans="2:6" ht="15" customHeight="1" x14ac:dyDescent="0.3">
      <c r="B26" s="8" t="s">
        <v>50</v>
      </c>
      <c r="C26" s="35"/>
      <c r="D26" s="35"/>
      <c r="E26" s="33"/>
      <c r="F26" s="19" t="s">
        <v>278</v>
      </c>
    </row>
    <row r="27" spans="2:6" ht="15" customHeight="1" x14ac:dyDescent="0.3">
      <c r="B27" s="6" t="s">
        <v>279</v>
      </c>
      <c r="C27" s="34"/>
      <c r="D27" s="34"/>
      <c r="E27" s="30"/>
      <c r="F27" s="22" t="s">
        <v>280</v>
      </c>
    </row>
    <row r="28" spans="2:6" ht="15" customHeight="1" x14ac:dyDescent="0.3">
      <c r="B28" s="8" t="s">
        <v>281</v>
      </c>
      <c r="C28" s="35"/>
      <c r="D28" s="35"/>
      <c r="E28" s="33"/>
      <c r="F28" s="19" t="s">
        <v>282</v>
      </c>
    </row>
    <row r="29" spans="2:6" ht="15" customHeight="1" x14ac:dyDescent="0.3">
      <c r="B29" s="6" t="s">
        <v>54</v>
      </c>
      <c r="C29" s="34"/>
      <c r="D29" s="34"/>
      <c r="E29" s="30"/>
      <c r="F29" s="22" t="s">
        <v>283</v>
      </c>
    </row>
    <row r="30" spans="2:6" ht="15.75" customHeight="1" x14ac:dyDescent="0.3">
      <c r="B30" s="208" t="s">
        <v>284</v>
      </c>
      <c r="C30" s="208"/>
      <c r="D30" s="208"/>
      <c r="E30" s="208"/>
      <c r="F30" s="3"/>
    </row>
    <row r="31" spans="2:6" ht="15" customHeight="1" x14ac:dyDescent="0.3">
      <c r="B31" s="6" t="s">
        <v>285</v>
      </c>
      <c r="C31" s="34"/>
      <c r="D31" s="34"/>
      <c r="E31" s="30"/>
      <c r="F31" s="22" t="s">
        <v>286</v>
      </c>
    </row>
    <row r="32" spans="2:6" ht="15" customHeight="1" x14ac:dyDescent="0.3">
      <c r="B32" s="8" t="s">
        <v>287</v>
      </c>
      <c r="C32" s="35"/>
      <c r="D32" s="35"/>
      <c r="E32" s="33"/>
      <c r="F32" s="19" t="s">
        <v>288</v>
      </c>
    </row>
    <row r="33" spans="2:6" ht="15" customHeight="1" x14ac:dyDescent="0.3">
      <c r="B33" s="6" t="s">
        <v>289</v>
      </c>
      <c r="C33" s="38"/>
      <c r="D33" s="38"/>
      <c r="E33" s="39"/>
      <c r="F33" s="22" t="s">
        <v>290</v>
      </c>
    </row>
    <row r="34" spans="2:6" ht="15" customHeight="1" x14ac:dyDescent="0.3">
      <c r="B34" s="8" t="s">
        <v>291</v>
      </c>
      <c r="C34" s="35"/>
      <c r="D34" s="35"/>
      <c r="E34" s="33"/>
      <c r="F34" s="19" t="s">
        <v>292</v>
      </c>
    </row>
    <row r="35" spans="2:6" ht="15.75" customHeight="1" x14ac:dyDescent="0.3">
      <c r="B35" s="208" t="s">
        <v>293</v>
      </c>
      <c r="C35" s="208"/>
      <c r="D35" s="208"/>
      <c r="E35" s="208"/>
      <c r="F35" s="208"/>
    </row>
    <row r="36" spans="2:6" ht="15" customHeight="1" x14ac:dyDescent="0.3">
      <c r="B36" s="8" t="s">
        <v>294</v>
      </c>
      <c r="C36" s="41"/>
      <c r="D36" s="41"/>
      <c r="E36" s="32"/>
      <c r="F36" s="19" t="s">
        <v>295</v>
      </c>
    </row>
    <row r="37" spans="2:6" ht="15" customHeight="1" x14ac:dyDescent="0.3">
      <c r="B37" s="6" t="s">
        <v>296</v>
      </c>
      <c r="C37" s="34"/>
      <c r="D37" s="34"/>
      <c r="E37" s="30"/>
      <c r="F37" s="22" t="s">
        <v>297</v>
      </c>
    </row>
    <row r="38" spans="2:6" ht="15" customHeight="1" x14ac:dyDescent="0.3">
      <c r="B38" s="23" t="s">
        <v>44</v>
      </c>
      <c r="C38" s="35"/>
      <c r="D38" s="35"/>
      <c r="E38" s="33"/>
      <c r="F38" s="19"/>
    </row>
    <row r="39" spans="2:6" ht="15" customHeight="1" x14ac:dyDescent="0.3">
      <c r="B39" s="20" t="s">
        <v>45</v>
      </c>
      <c r="C39" s="34"/>
      <c r="D39" s="34"/>
      <c r="E39" s="30"/>
      <c r="F39" s="22"/>
    </row>
    <row r="40" spans="2:6" ht="15" customHeight="1" x14ac:dyDescent="0.3">
      <c r="B40" s="23" t="s">
        <v>46</v>
      </c>
      <c r="C40" s="35"/>
      <c r="D40" s="35"/>
      <c r="E40" s="33"/>
      <c r="F40" s="19"/>
    </row>
    <row r="41" spans="2:6" ht="15" customHeight="1" x14ac:dyDescent="0.3">
      <c r="B41" s="6" t="s">
        <v>298</v>
      </c>
      <c r="C41" s="40"/>
      <c r="D41" s="40"/>
      <c r="E41" s="29"/>
      <c r="F41" s="22" t="s">
        <v>299</v>
      </c>
    </row>
    <row r="42" spans="2:6" ht="15" customHeight="1" x14ac:dyDescent="0.3">
      <c r="B42" s="8" t="s">
        <v>300</v>
      </c>
      <c r="C42" s="35"/>
      <c r="D42" s="35"/>
      <c r="E42" s="33"/>
      <c r="F42" s="19" t="s">
        <v>301</v>
      </c>
    </row>
  </sheetData>
  <mergeCells count="8">
    <mergeCell ref="B23:F23"/>
    <mergeCell ref="B30:E30"/>
    <mergeCell ref="B35:F35"/>
    <mergeCell ref="B1:F1"/>
    <mergeCell ref="B2:F2"/>
    <mergeCell ref="B4:E4"/>
    <mergeCell ref="B11:E11"/>
    <mergeCell ref="B17:F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FLAGS</vt:lpstr>
      <vt:lpstr>ASSUMPTIONS</vt:lpstr>
      <vt:lpstr>IS</vt:lpstr>
      <vt:lpstr>BS</vt:lpstr>
      <vt:lpstr>CF</vt:lpstr>
      <vt:lpstr>SEGMENT</vt:lpstr>
      <vt:lpstr>KPI</vt:lpstr>
      <vt:lpstr>RATIOS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Nur Syahraini</cp:lastModifiedBy>
  <cp:revision>0</cp:revision>
  <dcterms:created xsi:type="dcterms:W3CDTF">2026-06-02T11:02:03Z</dcterms:created>
  <dcterms:modified xsi:type="dcterms:W3CDTF">2026-07-02T08:48:37Z</dcterms:modified>
  <dc:language>en-US</dc:language>
</cp:coreProperties>
</file>